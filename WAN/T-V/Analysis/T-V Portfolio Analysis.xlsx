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ehold Summary" sheetId="1" state="visible" r:id="rId3"/>
    <sheet name="Assumptions" sheetId="2" state="visible" r:id="rId4"/>
    <sheet name="Holdings" sheetId="3" state="visible" r:id="rId5"/>
    <sheet name="Cost Analysis" sheetId="4" state="visible" r:id="rId6"/>
    <sheet name="Schwab Migration Plan" sheetId="5" state="visible" r:id="rId7"/>
    <sheet name="DB Plan Annuity" sheetId="6" state="visible" r:id="rId8"/>
    <sheet name="Sources" sheetId="7" state="visible" r:id="rId9"/>
  </sheets>
  <definedNames>
    <definedName function="false" hidden="true" localSheetId="2" name="_xlnm._FilterDatabase" vbProcedure="false">Holdings!$A$3:$I$28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<sst xmlns="http://schemas.openxmlformats.org/spreadsheetml/2006/main" count="439" uniqueCount="295">
  <si>
    <t xml:space="preserve">Evans household — investable assets by account (401(k)/joint/529 as of 6/30/2026; DB annuity 7/16/2026; Schwab custodial accounts 7/31/2026)</t>
  </si>
  <si>
    <t xml:space="preserve">Blue = statement figures; black = formulas. Equity/bond/cash split is a look-through estimate using each fund's published mix (target-date funds) or 100% for single securities.</t>
  </si>
  <si>
    <t xml:space="preserve">Account</t>
  </si>
  <si>
    <t xml:space="preserve">Owner</t>
  </si>
  <si>
    <t xml:space="preserve">Custodian</t>
  </si>
  <si>
    <t xml:space="preserve">Type</t>
  </si>
  <si>
    <t xml:space="preserve">As of</t>
  </si>
  <si>
    <t xml:space="preserve">Value</t>
  </si>
  <si>
    <t xml:space="preserve">YTD beginning</t>
  </si>
  <si>
    <t xml:space="preserve">YTD contributions</t>
  </si>
  <si>
    <t xml:space="preserve">YTD fees (explicit)</t>
  </si>
  <si>
    <t xml:space="preserve">YTD gain (value − beg − contrib)</t>
  </si>
  <si>
    <t xml:space="preserve">YTD return (simple)</t>
  </si>
  <si>
    <t xml:space="preserve">Equity $</t>
  </si>
  <si>
    <t xml:space="preserve">Bonds $</t>
  </si>
  <si>
    <t xml:space="preserve">Cash $</t>
  </si>
  <si>
    <t xml:space="preserve">At Schwab?</t>
  </si>
  <si>
    <t xml:space="preserve">Buffered index $</t>
  </si>
  <si>
    <t xml:space="preserve">Hot Rod 401(k) — Tommy</t>
  </si>
  <si>
    <t xml:space="preserve">Tommy</t>
  </si>
  <si>
    <t xml:space="preserve">Equitable (group variable annuity)</t>
  </si>
  <si>
    <t xml:space="preserve">401(k)</t>
  </si>
  <si>
    <t xml:space="preserve">2026-06-30</t>
  </si>
  <si>
    <t xml:space="preserve">No</t>
  </si>
  <si>
    <t xml:space="preserve">Hot Rod 401(k) — Emma</t>
  </si>
  <si>
    <t xml:space="preserve">Emma</t>
  </si>
  <si>
    <t xml:space="preserve">Joint brokerage (JTTEN TOD)</t>
  </si>
  <si>
    <t xml:space="preserve">Tommy &amp; Emma</t>
  </si>
  <si>
    <t xml:space="preserve">Equitable Advisors / LPL Financial</t>
  </si>
  <si>
    <t xml:space="preserve">Taxable</t>
  </si>
  <si>
    <t xml:space="preserve">Sadie custodial Roth IRA</t>
  </si>
  <si>
    <t xml:space="preserve">Sadie</t>
  </si>
  <si>
    <t xml:space="preserve">Charles Schwab</t>
  </si>
  <si>
    <t xml:space="preserve">Roth IRA (minor)</t>
  </si>
  <si>
    <t xml:space="preserve">2026-07-31</t>
  </si>
  <si>
    <t xml:space="preserve">Yes</t>
  </si>
  <si>
    <t xml:space="preserve">Sadie UTMA</t>
  </si>
  <si>
    <t xml:space="preserve">UTMA (CA)</t>
  </si>
  <si>
    <t xml:space="preserve">Wren UTMA</t>
  </si>
  <si>
    <t xml:space="preserve">Wren</t>
  </si>
  <si>
    <t xml:space="preserve">Evans Group DB plan — SCS PLUS annuity</t>
  </si>
  <si>
    <t xml:space="preserve">Evans Group Home Loans (Tommy annuitant)</t>
  </si>
  <si>
    <t xml:space="preserve">Equitable (index-linked annuity)</t>
  </si>
  <si>
    <t xml:space="preserve">Defined benefit plan</t>
  </si>
  <si>
    <t xml:space="preserve">2026-07-16</t>
  </si>
  <si>
    <t xml:space="preserve">n/a</t>
  </si>
  <si>
    <t xml:space="preserve">my529 — Wren</t>
  </si>
  <si>
    <t xml:space="preserve">Tommy (bene. Wren)</t>
  </si>
  <si>
    <t xml:space="preserve">my529 (Utah)</t>
  </si>
  <si>
    <t xml:space="preserve">529</t>
  </si>
  <si>
    <t xml:space="preserve">TOTAL</t>
  </si>
  <si>
    <t xml:space="preserve">ex-DB</t>
  </si>
  <si>
    <t xml:space="preserve">Allocation look-through</t>
  </si>
  <si>
    <t xml:space="preserve">Equity funds &amp; stocks</t>
  </si>
  <si>
    <t xml:space="preserve">Buffered index segments (DB annuity)</t>
  </si>
  <si>
    <t xml:space="preserve">Bonds / stable value</t>
  </si>
  <si>
    <t xml:space="preserve">Cash &amp; money market</t>
  </si>
  <si>
    <t xml:space="preserve">Where the money sits</t>
  </si>
  <si>
    <t xml:space="preserve">At Equitable / LPL (to be moved)</t>
  </si>
  <si>
    <t xml:space="preserve">Already at Schwab</t>
  </si>
  <si>
    <t xml:space="preserve">my529 (stays)</t>
  </si>
  <si>
    <t xml:space="preserve">Idle cash earning 0.01% (all accounts)</t>
  </si>
  <si>
    <t xml:space="preserve">Not valued (documents give no balance): Prudential flexible-premium life policy V2 668 056 ($500/yr planned premium); home at 973 Begonia Ave (mortgage $467,835.72 at 2.75%).</t>
  </si>
  <si>
    <t xml:space="preserve">Assumptions and external inputs (blue = input; edit here and the Cost sheet recalculates)</t>
  </si>
  <si>
    <t xml:space="preserve">Input</t>
  </si>
  <si>
    <t xml:space="preserve">Unit</t>
  </si>
  <si>
    <t xml:space="preserve">Source / note</t>
  </si>
  <si>
    <t xml:space="preserve">TRP Retirement R-class expense ratio</t>
  </si>
  <si>
    <t xml:space="preserve">%/yr</t>
  </si>
  <si>
    <t xml:space="preserve">T. Rowe Price Retirement 2035 R fact sheet 6/30/2026 (RRTPX 1.08%; R class carries a 0.50% 12b-1). Verify current prospectus.</t>
  </si>
  <si>
    <t xml:space="preserve">Schwab Target 2035 Index (SWYFX) expense ratio</t>
  </si>
  <si>
    <t xml:space="preserve">Schwab Asset Management; approx — verify.</t>
  </si>
  <si>
    <t xml:space="preserve">Money-market yield available at Schwab (SWVXX)</t>
  </si>
  <si>
    <t xml:space="preserve">Approx 7-day yield; 3-mo T-bill 3.83% on 8/31/26 per Merrill statement. Verify.</t>
  </si>
  <si>
    <t xml:space="preserve">Equitable Guaranteed Interest Option rate</t>
  </si>
  <si>
    <t xml:space="preserve">Sponsor report: 2.00% in effect until 7/31/2026.</t>
  </si>
  <si>
    <t xml:space="preserve">Sweep rate (LPL ICA / Schwab Bank Sweep)</t>
  </si>
  <si>
    <t xml:space="preserve">Printed on statements.</t>
  </si>
  <si>
    <t xml:space="preserve">LPL outgoing ACAT fee</t>
  </si>
  <si>
    <t xml:space="preserve">$/acct</t>
  </si>
  <si>
    <t xml:space="preserve">LPL FS07 brokerage fee schedule eff. 1/1/2026: $125 per account.</t>
  </si>
  <si>
    <t xml:space="preserve">LPL brokerage maintenance fee</t>
  </si>
  <si>
    <t xml:space="preserve">$/yr</t>
  </si>
  <si>
    <t xml:space="preserve">LPL FS07: $100/yr; statement shows $0 fees YTD so may be waived/paid elsewhere — verify.</t>
  </si>
  <si>
    <t xml:space="preserve">Schwab Individual 401(k) fees</t>
  </si>
  <si>
    <t xml:space="preserve">schwab.com: no fee to open or maintain; $0 online ETF/stock commissions; no participant loans; owner + spouse only.</t>
  </si>
  <si>
    <t xml:space="preserve">Schwab Personal Defined Benefit Plan setup</t>
  </si>
  <si>
    <t xml:space="preserve">$</t>
  </si>
  <si>
    <t xml:space="preserve">schwab.com: from $2,250 plus annual service fees; designed for $90k+/yr contributions.</t>
  </si>
  <si>
    <t xml:space="preserve">Q2 2026 asset charge, whole plan</t>
  </si>
  <si>
    <t xml:space="preserve">$/qtr</t>
  </si>
  <si>
    <t xml:space="preserve">Sponsor report 'Fees' line; participant statements show ASSET CHARGE $335.75 + $15.91.</t>
  </si>
  <si>
    <t xml:space="preserve">Every holding across the eight valued accounts</t>
  </si>
  <si>
    <t xml:space="preserve">Holding</t>
  </si>
  <si>
    <t xml:space="preserve">Kind</t>
  </si>
  <si>
    <t xml:space="preserve">% of account</t>
  </si>
  <si>
    <t xml:space="preserve">% of household</t>
  </si>
  <si>
    <t xml:space="preserve">Equity %</t>
  </si>
  <si>
    <t xml:space="preserve">Bond %</t>
  </si>
  <si>
    <t xml:space="preserve">Cash %</t>
  </si>
  <si>
    <t xml:space="preserve">T. Rowe Price Retirement 2035 R</t>
  </si>
  <si>
    <t xml:space="preserve">target-date fund</t>
  </si>
  <si>
    <t xml:space="preserve">Guaranteed Interest Option (2.00%)</t>
  </si>
  <si>
    <t xml:space="preserve">stable value</t>
  </si>
  <si>
    <t xml:space="preserve">T. Rowe Price Retirement 2040 R</t>
  </si>
  <si>
    <t xml:space="preserve">US Treasury STRIP 8/15/2029 (zero coupon)</t>
  </si>
  <si>
    <t xml:space="preserve">Treasury zero</t>
  </si>
  <si>
    <t xml:space="preserve">SPCX — Space Exploration Technologies Cl A</t>
  </si>
  <si>
    <t xml:space="preserve">single stock</t>
  </si>
  <si>
    <t xml:space="preserve">LPL Insured Cash (0.01%)</t>
  </si>
  <si>
    <t xml:space="preserve">cash</t>
  </si>
  <si>
    <t xml:space="preserve">ACWI — iShares MSCI ACWI</t>
  </si>
  <si>
    <t xml:space="preserve">global equity ETF</t>
  </si>
  <si>
    <t xml:space="preserve">AGG — iShares Core US Aggregate Bond</t>
  </si>
  <si>
    <t xml:space="preserve">bond ETF</t>
  </si>
  <si>
    <t xml:space="preserve">NFLX — Netflix</t>
  </si>
  <si>
    <t xml:space="preserve">Schwab Bank Sweep (0.01%)</t>
  </si>
  <si>
    <t xml:space="preserve">ACWI</t>
  </si>
  <si>
    <t xml:space="preserve">QQQ — Invesco Nasdaq-100</t>
  </si>
  <si>
    <t xml:space="preserve">US growth ETF</t>
  </si>
  <si>
    <t xml:space="preserve">SWVXX money fund</t>
  </si>
  <si>
    <t xml:space="preserve">money market</t>
  </si>
  <si>
    <t xml:space="preserve">QQQ</t>
  </si>
  <si>
    <t xml:space="preserve">AGG</t>
  </si>
  <si>
    <t xml:space="preserve">S&amp;P 500 buffered segments</t>
  </si>
  <si>
    <t xml:space="preserve">buffered index segment</t>
  </si>
  <si>
    <t xml:space="preserve">Russell 2000 buffered segments</t>
  </si>
  <si>
    <t xml:space="preserve">MSCI EAFE buffered segments</t>
  </si>
  <si>
    <t xml:space="preserve">NASDAQ 100 buffered segments</t>
  </si>
  <si>
    <t xml:space="preserve">MSCI EM buffered segments</t>
  </si>
  <si>
    <t xml:space="preserve">Target Enrollment 2032/2033 (UTAJX)</t>
  </si>
  <si>
    <t xml:space="preserve">age-based 529 portfolio</t>
  </si>
  <si>
    <t xml:space="preserve">What the Equitable 401(k) costs today vs. the same money at Schwab (annual run-rate)</t>
  </si>
  <si>
    <t xml:space="preserve">Explicit costs come from the statements; embedded fund expenses and the cash/GIO opportunity cost use the Assumptions sheet. Kids' Schwab accounts, the joint LPL account and my529 show $0 explicit fees.</t>
  </si>
  <si>
    <t xml:space="preserve">Line</t>
  </si>
  <si>
    <t xml:space="preserve">Basis ($)</t>
  </si>
  <si>
    <t xml:space="preserve">Rate</t>
  </si>
  <si>
    <t xml:space="preserve">Annual cost ($)</t>
  </si>
  <si>
    <t xml:space="preserve">Note</t>
  </si>
  <si>
    <t xml:space="preserve">401(k) variable-fund balance (TRP 2035 R + 2040 R)</t>
  </si>
  <si>
    <t xml:space="preserve">Sponsor report 6/30/2026</t>
  </si>
  <si>
    <t xml:space="preserve">401(k) Guaranteed Interest Option balance</t>
  </si>
  <si>
    <t xml:space="preserve">Equitable asset charge (explicit, on variable funds)</t>
  </si>
  <si>
    <t xml:space="preserve">Q2 fee ×4; charged only on variable funds</t>
  </si>
  <si>
    <t xml:space="preserve">T. Rowe Price R-class fund expenses (embedded)</t>
  </si>
  <si>
    <t xml:space="preserve">Netted out of the unit value; never appears as a line item</t>
  </si>
  <si>
    <t xml:space="preserve">GIO opportunity cost vs. a money-market fund</t>
  </si>
  <si>
    <t xml:space="preserve">2.00% guaranteed vs ~3.7% available; not a fee, but real</t>
  </si>
  <si>
    <t xml:space="preserve">Idle sweep cash at 0.01% (joint + 3 Schwab custodial accounts)</t>
  </si>
  <si>
    <t xml:space="preserve">Fixable today inside Schwab by buying SWVXX</t>
  </si>
  <si>
    <t xml:space="preserve">Total annual cost + drag, as structured today</t>
  </si>
  <si>
    <t xml:space="preserve">as % of 401(k) assets</t>
  </si>
  <si>
    <t xml:space="preserve">Same balances at Schwab</t>
  </si>
  <si>
    <t xml:space="preserve">Schwab Individual 401(k) plan/account fee</t>
  </si>
  <si>
    <t xml:space="preserve">No setup or maintenance fee</t>
  </si>
  <si>
    <t xml:space="preserve">Index target-date fund (e.g. Schwab Target 2035 Index) on the variable balance</t>
  </si>
  <si>
    <t xml:space="preserve">Money-market / Treasury bills on the GIO balance (drag vs. best available = 0)</t>
  </si>
  <si>
    <t xml:space="preserve">Idle cash moved to SWVXX (drag = 0)</t>
  </si>
  <si>
    <t xml:space="preserve">Total annual cost + drag at Schwab</t>
  </si>
  <si>
    <t xml:space="preserve">Annual saving</t>
  </si>
  <si>
    <t xml:space="preserve">One-time costs of moving</t>
  </si>
  <si>
    <t xml:space="preserve">LPL ACAT on the joint account. Equitable group-annuity contingent withdrawal charge on plan termination: NOT DISCLOSED on the pages provided — obtain before acting.</t>
  </si>
  <si>
    <t xml:space="preserve">Ten-year value of the saving (no growth, no compounding)</t>
  </si>
  <si>
    <t xml:space="preserve">Ten-year projection of the 401(k) at 6% gross, current structure vs. Schwab structure</t>
  </si>
  <si>
    <t xml:space="preserve">Year</t>
  </si>
  <si>
    <t xml:space="preserve">Current structure (net of cost+drag)</t>
  </si>
  <si>
    <t xml:space="preserve">Schwab structure</t>
  </si>
  <si>
    <t xml:space="preserve">Difference</t>
  </si>
  <si>
    <t xml:space="preserve">6% gross return is an ASSUMPTION for illustration only; contributions ignored.</t>
  </si>
  <si>
    <t xml:space="preserve">Account-by-account plan to consolidate at Charles Schwab</t>
  </si>
  <si>
    <t xml:space="preserve">#</t>
  </si>
  <si>
    <t xml:space="preserve">Recommended Schwab destination</t>
  </si>
  <si>
    <t xml:space="preserve">Method</t>
  </si>
  <si>
    <t xml:space="preserve">Tax effect</t>
  </si>
  <si>
    <t xml:space="preserve">Cost / friction</t>
  </si>
  <si>
    <t xml:space="preserve">Pre-conditions &amp; open items</t>
  </si>
  <si>
    <t xml:space="preserve">Priority</t>
  </si>
  <si>
    <t xml:space="preserve">Hot Rod 401(k) — Tommy + Emma</t>
  </si>
  <si>
    <t xml:space="preserve">Schwab Individual 401(k) (traditional + Roth) if the company has no employees other than Tommy and Emma; otherwise a low-cost open-architecture 401(k) provider with Schwab as custodian</t>
  </si>
  <si>
    <t xml:space="preserve">Adopt Schwab plan → terminate Equitable contract → direct plan-to-plan rollover (or, without terminating, roll the $108,707 'Rollover' source to a Schwab Rollover IRA if the plan permits in-service distribution of rollover money)</t>
  </si>
  <si>
    <t xml:space="preserve">None if done as a direct rollover</t>
  </si>
  <si>
    <t xml:space="preserve">Equitable contingent withdrawal charge on the group annuity (schedule not on statements); GIO transfer restriction currently waived — move GIO money first; Schwab I-401(k) does not allow loans</t>
  </si>
  <si>
    <t xml:space="preserve">Confirm employee census (Emma is the only other participant); obtain Equitable contract fee/CWC schedule; confirm plan document allows in-service rollover-source distributions; file final Form 5500 on termination</t>
  </si>
  <si>
    <t xml:space="preserve">1</t>
  </si>
  <si>
    <t xml:space="preserve">Schwab-custodied DB plan (Schwab Personal Defined Benefit Plan, or existing TPA with a Schwab company retirement account); or terminate and roll to a Schwab IRA</t>
  </si>
  <si>
    <t xml:space="preserve">Now: switch maturity instructions to EQ/Money Market so maturing segments stop re-locking; from 2/10/2027 (withdrawal charge 0%): trustee-to-trustee transfer of cash + matured segments; decide 6-year segments individually</t>
  </si>
  <si>
    <t xml:space="preserve">None if transferred/rolled; plan termination needs actuary/IRS steps</t>
  </si>
  <si>
    <t xml:space="preserve">3% withdrawal charge until 2/9/2027 (~$22,128 today); 6-year segments exited early get interim value with no buffer; Schwab PDB setup from $2,250</t>
  </si>
  <si>
    <t xml:space="preserve">Get actuarial report, funding target and contribution schedule from TPA; confirm free-withdrawal amount; decide whether the business keeps funding a DB plan</t>
  </si>
  <si>
    <t xml:space="preserve">Joint brokerage (LPL x1858)</t>
  </si>
  <si>
    <t xml:space="preserve">Schwab One joint TOD brokerage</t>
  </si>
  <si>
    <t xml:space="preserve">ACAT transfer in kind (STRIP, SPCX and cash all transfer)</t>
  </si>
  <si>
    <t xml:space="preserve">None on transfer; selling the STRIP would realize a small loss, SPCX a small short-term gain</t>
  </si>
  <si>
    <t xml:space="preserve">$125 LPL ACAT fee; nothing at Schwab</t>
  </si>
  <si>
    <t xml:space="preserve">Decide whether to keep the 2029 STRIP to maturity (≈4.2% yield to maturity) and whether SPCX belongs in an 'income' account; move cash to SWVXX</t>
  </si>
  <si>
    <t xml:space="preserve">Already at Schwab — no move</t>
  </si>
  <si>
    <t xml:space="preserve">Invest the $6,419 idle cash; add 2026 contribution if Sadie has earned income</t>
  </si>
  <si>
    <t xml:space="preserve">—</t>
  </si>
  <si>
    <t xml:space="preserve">Roth contribution requires the child's earned income up to $7,000</t>
  </si>
  <si>
    <t xml:space="preserve">3</t>
  </si>
  <si>
    <t xml:space="preserve">Sadie UTMA / Wren UTMA</t>
  </si>
  <si>
    <t xml:space="preserve">Sweep bank cash ($1,159 / $1,139) into SWVXX or ETFs</t>
  </si>
  <si>
    <t xml:space="preserve">Kiddie-tax rules apply above $2,700 unearned income (2026)</t>
  </si>
  <si>
    <t xml:space="preserve">Consider whether new gifts should go to 529 instead of UTMA (control, financial-aid treatment)</t>
  </si>
  <si>
    <t xml:space="preserve">Keep at my529 (0.08% admin + index underlying); Schwab has no house 529</t>
  </si>
  <si>
    <t xml:space="preserve">No action</t>
  </si>
  <si>
    <t xml:space="preserve">Sadie has no 529 on file — consider opening one</t>
  </si>
  <si>
    <t xml:space="preserve">Prudential flexible-premium life (VUL?)</t>
  </si>
  <si>
    <t xml:space="preserve">unknown</t>
  </si>
  <si>
    <t xml:space="preserve">Not a Schwab product; review separately</t>
  </si>
  <si>
    <t xml:space="preserve">Request in-force illustration and annual statement</t>
  </si>
  <si>
    <t xml:space="preserve">Know cash value, cost of insurance, and whether the $500/yr premium keeps it in force</t>
  </si>
  <si>
    <t xml:space="preserve">2</t>
  </si>
  <si>
    <t xml:space="preserve">Mortgage 2.75% (RoundPoint)</t>
  </si>
  <si>
    <t xml:space="preserve">Keep — do not prepay</t>
  </si>
  <si>
    <t xml:space="preserve">Interest deductible if itemizing</t>
  </si>
  <si>
    <t xml:space="preserve">~24 years remaining; rate far below current money-market yields</t>
  </si>
  <si>
    <t xml:space="preserve">Evans Group DB plan — Equitable Structured Capital Strategies PLUS QP annuity, contract 321 012 247 (Segment Activity Report of 7/16/2026)</t>
  </si>
  <si>
    <t xml:space="preserve">Total Annuity Account Value $737,594.39, 100% in 129 index-linked segments (interim values). No contributions, fees, surrender value or plan-funding data are on the report.</t>
  </si>
  <si>
    <t xml:space="preserve">By index</t>
  </si>
  <si>
    <t xml:space="preserve">Index</t>
  </si>
  <si>
    <t xml:space="preserve">% of annuity</t>
  </si>
  <si>
    <t xml:space="preserve">S&amp;P 500</t>
  </si>
  <si>
    <t xml:space="preserve">Russell 2000</t>
  </si>
  <si>
    <t xml:space="preserve">MSCI EAFE ETF</t>
  </si>
  <si>
    <t xml:space="preserve">NASDAQ 100</t>
  </si>
  <si>
    <t xml:space="preserve">MSCI EM</t>
  </si>
  <si>
    <t xml:space="preserve">Total</t>
  </si>
  <si>
    <t xml:space="preserve">By segment term</t>
  </si>
  <si>
    <t xml:space="preserve">Term</t>
  </si>
  <si>
    <t xml:space="preserve">%</t>
  </si>
  <si>
    <t xml:space="preserve">1-year segments</t>
  </si>
  <si>
    <t xml:space="preserve">6-year segments</t>
  </si>
  <si>
    <t xml:space="preserve">By segment type</t>
  </si>
  <si>
    <t xml:space="preserve">Standard</t>
  </si>
  <si>
    <t xml:space="preserve">Dual Direction</t>
  </si>
  <si>
    <t xml:space="preserve">Step Up</t>
  </si>
  <si>
    <t xml:space="preserve">Annual Lock</t>
  </si>
  <si>
    <t xml:space="preserve">Enhanced Upside</t>
  </si>
  <si>
    <t xml:space="preserve">Value by maturity year (interim values)</t>
  </si>
  <si>
    <t xml:space="preserve">Maturity year</t>
  </si>
  <si>
    <t xml:space="preserve">Cumulative</t>
  </si>
  <si>
    <t xml:space="preserve">2026</t>
  </si>
  <si>
    <t xml:space="preserve">1-year segments; movable at maturity</t>
  </si>
  <si>
    <t xml:space="preserve">2027</t>
  </si>
  <si>
    <t xml:space="preserve">2028</t>
  </si>
  <si>
    <t xml:space="preserve">6-year segments; early exit = interim value (no buffer)</t>
  </si>
  <si>
    <t xml:space="preserve">2029</t>
  </si>
  <si>
    <t xml:space="preserve">2030</t>
  </si>
  <si>
    <t xml:space="preserve">2031</t>
  </si>
  <si>
    <t xml:space="preserve">Withdrawal charge (SCS PLUS: 6/6/5/5/4/3/0% by contract year; contract date 2/10/2021)</t>
  </si>
  <si>
    <t xml:space="preserve">Charge if surrendered before 2/10/2027</t>
  </si>
  <si>
    <t xml:space="preserve">Charge from 2/10/2027</t>
  </si>
  <si>
    <t xml:space="preserve">Annual-lock segment-years printed on the report: index price return vs. return credited</t>
  </si>
  <si>
    <t xml:space="preserve">Segment</t>
  </si>
  <si>
    <t xml:space="preserve">Cap %</t>
  </si>
  <si>
    <t xml:space="preserve">Index return %</t>
  </si>
  <si>
    <t xml:space="preserve">Credited %</t>
  </si>
  <si>
    <t xml:space="preserve">Cap cost (pts)</t>
  </si>
  <si>
    <t xml:space="preserve">Buffer benefit (pts)</t>
  </si>
  <si>
    <t xml:space="preserve">S&amp;P 500 Annual Lock 6 Year -10% Buffer Sep 19</t>
  </si>
  <si>
    <t xml:space="preserve">2023</t>
  </si>
  <si>
    <t xml:space="preserve">2024</t>
  </si>
  <si>
    <t xml:space="preserve">S&amp;P 500 Annual Lock 6 Year -10% Buffer Oct 16</t>
  </si>
  <si>
    <t xml:space="preserve">Russell 2000 Annual Lock 6 Year -10% Buffer M</t>
  </si>
  <si>
    <t xml:space="preserve">2021</t>
  </si>
  <si>
    <t xml:space="preserve">2022</t>
  </si>
  <si>
    <t xml:space="preserve">2025</t>
  </si>
  <si>
    <t xml:space="preserve">Russell 2000 Annual Lock 6 Year -10% Buffer O</t>
  </si>
  <si>
    <t xml:space="preserve">Russell 2000 Annual Lock 6 Year -10% Buffer F</t>
  </si>
  <si>
    <t xml:space="preserve">MSCI EAFE ETF Annual Lock 6 Year -10% Buffer </t>
  </si>
  <si>
    <t xml:space="preserve">Average</t>
  </si>
  <si>
    <t xml:space="preserve">Net give-up vs price index (avg index − avg credited)</t>
  </si>
  <si>
    <t xml:space="preserve">Index returns are price-only (segments receive no dividends). Standard 1- and 6-year segments print no interim return, so this sample is the nine annual-lock segments only.</t>
  </si>
  <si>
    <t xml:space="preserve">Documents used (all scanned PDFs in WAN\T-V, read page by page)</t>
  </si>
  <si>
    <t xml:space="preserve">TOMMY 401k 202606.pdf</t>
  </si>
  <si>
    <t xml:space="preserve">Equitable Retirement Account Update Q2 2026, participant 219232842 — pages 1-3 and 8 of 8</t>
  </si>
  <si>
    <t xml:space="preserve">EMMA 401k 202606.pdf</t>
  </si>
  <si>
    <t xml:space="preserve">Equitable Retirement Account Update Q2 2026, participant 220249613</t>
  </si>
  <si>
    <t xml:space="preserve">EVANS 401k sponsor report 202606.pdf</t>
  </si>
  <si>
    <t xml:space="preserve">Equitable Plan Sponsor Update Q2 2026, contract 693006 (fund line-up performance, plan totals)</t>
  </si>
  <si>
    <t xml:space="preserve">JOINT Equitable x1858.pdf</t>
  </si>
  <si>
    <t xml:space="preserve">Equitable Advisors / LPL brokerage statement Q2 2026, pages 1-5 of 12</t>
  </si>
  <si>
    <t xml:space="preserve">SADIE Roth IRA x450.pdf / SADIE UTMA x444.pdf / WREN UTMA x504.pdf</t>
  </si>
  <si>
    <t xml:space="preserve">Schwab statements July 2026</t>
  </si>
  <si>
    <t xml:space="preserve">Tommy my529 202606.pdf</t>
  </si>
  <si>
    <t xml:space="preserve">my529 quarterly statement Q2 2026, page 1 of 2</t>
  </si>
  <si>
    <t xml:space="preserve">Evans Group DB Maturity Letter 202608.pdf</t>
  </si>
  <si>
    <t xml:space="preserve">Equitable SCS PLUS QP segment maturity notice 8/3/2026 (no values)</t>
  </si>
  <si>
    <t xml:space="preserve">TOMMY DBplan 202606.pdf</t>
  </si>
  <si>
    <t xml:space="preserve">Equitable SCS PLUS QP Segment Activity Report 7/16/2026, contract 321 012 247 — 129 segments, total $737,594.39 (added in v2)</t>
  </si>
  <si>
    <t xml:space="preserve">HOME RoundPoint Mortgage - Aug 1, 2026.pdf</t>
  </si>
  <si>
    <t xml:space="preserve">Mortgage billing statement 7/6/2026</t>
  </si>
  <si>
    <t xml:space="preserve">Tommy Prudential Pay request 20260819.pdf</t>
  </si>
  <si>
    <t xml:space="preserve">Prudential planned-premium payment notice (not a bill)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</si>
</sst>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0%;\(0.00%\);\-"/>
    <numFmt numFmtId="167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B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4" min="12" style="0" width="13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5" t="n">
        <v>372922.5</v>
      </c>
      <c r="G5" s="5" t="n">
        <v>342163.14</v>
      </c>
      <c r="H5" s="5" t="n">
        <v>10208.3</v>
      </c>
      <c r="I5" s="5" t="n">
        <v>651.63</v>
      </c>
      <c r="J5" s="6" t="n">
        <f aca="false">F5-G5-H5</f>
        <v>20551.06</v>
      </c>
      <c r="K5" s="7" t="n">
        <f aca="false">J5/(G5+0.5*H5)</f>
        <v>0.0591793716016271</v>
      </c>
      <c r="L5" s="6" t="n">
        <v>192432.9</v>
      </c>
      <c r="M5" s="6" t="n">
        <v>60928.62</v>
      </c>
      <c r="N5" s="6" t="n">
        <v>119053.24</v>
      </c>
      <c r="O5" s="4" t="s">
        <v>23</v>
      </c>
      <c r="P5" s="6" t="n">
        <v>0</v>
      </c>
    </row>
    <row r="6" customFormat="false" ht="15" hidden="false" customHeight="false" outlineLevel="0" collapsed="false">
      <c r="A6" s="4" t="s">
        <v>24</v>
      </c>
      <c r="B6" s="4" t="s">
        <v>25</v>
      </c>
      <c r="C6" s="4" t="s">
        <v>20</v>
      </c>
      <c r="D6" s="4" t="s">
        <v>21</v>
      </c>
      <c r="E6" s="4" t="s">
        <v>22</v>
      </c>
      <c r="F6" s="5" t="n">
        <v>11872.47</v>
      </c>
      <c r="G6" s="5" t="n">
        <v>10833.32</v>
      </c>
      <c r="H6" s="5" t="n">
        <v>0</v>
      </c>
      <c r="I6" s="5" t="n">
        <v>31.16</v>
      </c>
      <c r="J6" s="6" t="n">
        <f aca="false">F6-G6-H6</f>
        <v>1039.15</v>
      </c>
      <c r="K6" s="7" t="n">
        <f aca="false">J6/(G6+0.5*H6)</f>
        <v>0.0959216565189618</v>
      </c>
      <c r="L6" s="6" t="n">
        <v>9497.98</v>
      </c>
      <c r="M6" s="6" t="n">
        <v>2374.49</v>
      </c>
      <c r="N6" s="6" t="n">
        <v>0</v>
      </c>
      <c r="O6" s="4" t="s">
        <v>23</v>
      </c>
      <c r="P6" s="6" t="n">
        <v>0</v>
      </c>
    </row>
    <row r="7" customFormat="false" ht="15" hidden="false" customHeight="false" outlineLevel="0" collapsed="false">
      <c r="A7" s="4" t="s">
        <v>26</v>
      </c>
      <c r="B7" s="4" t="s">
        <v>27</v>
      </c>
      <c r="C7" s="4" t="s">
        <v>28</v>
      </c>
      <c r="D7" s="4" t="s">
        <v>29</v>
      </c>
      <c r="E7" s="4" t="s">
        <v>22</v>
      </c>
      <c r="F7" s="5" t="n">
        <v>55844.92</v>
      </c>
      <c r="G7" s="5" t="n">
        <v>55792.92</v>
      </c>
      <c r="H7" s="5" t="n">
        <v>0</v>
      </c>
      <c r="I7" s="5" t="n">
        <v>0</v>
      </c>
      <c r="J7" s="6" t="n">
        <f aca="false">F7-G7-H7</f>
        <v>52</v>
      </c>
      <c r="K7" s="7" t="n">
        <f aca="false">J7/(G7+0.5*H7)</f>
        <v>0.000932017897611382</v>
      </c>
      <c r="L7" s="6" t="n">
        <v>11105.9</v>
      </c>
      <c r="M7" s="6" t="n">
        <v>43976</v>
      </c>
      <c r="N7" s="6" t="n">
        <v>763.02</v>
      </c>
      <c r="O7" s="4" t="s">
        <v>23</v>
      </c>
      <c r="P7" s="6" t="n">
        <v>0</v>
      </c>
    </row>
    <row r="8" customFormat="false" ht="15" hidden="false" customHeight="false" outlineLevel="0" collapsed="false">
      <c r="A8" s="4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5" t="n">
        <v>15090.19</v>
      </c>
      <c r="G8" s="5" t="n">
        <v>14604.31</v>
      </c>
      <c r="H8" s="5" t="n">
        <v>0</v>
      </c>
      <c r="I8" s="5" t="n">
        <v>0</v>
      </c>
      <c r="J8" s="6" t="n">
        <f aca="false">F8-G8-H8</f>
        <v>485.880000000001</v>
      </c>
      <c r="K8" s="7" t="n">
        <f aca="false">J8/(G8+0.5*H8)</f>
        <v>0.0332696306775192</v>
      </c>
      <c r="L8" s="6" t="n">
        <v>7600.02</v>
      </c>
      <c r="M8" s="6" t="n">
        <v>1071.07</v>
      </c>
      <c r="N8" s="6" t="n">
        <v>6419.1</v>
      </c>
      <c r="O8" s="4" t="s">
        <v>35</v>
      </c>
      <c r="P8" s="6" t="n">
        <v>0</v>
      </c>
    </row>
    <row r="9" customFormat="false" ht="15" hidden="false" customHeight="false" outlineLevel="0" collapsed="false">
      <c r="A9" s="4" t="s">
        <v>36</v>
      </c>
      <c r="B9" s="4" t="s">
        <v>31</v>
      </c>
      <c r="C9" s="4" t="s">
        <v>32</v>
      </c>
      <c r="D9" s="4" t="s">
        <v>37</v>
      </c>
      <c r="E9" s="4" t="s">
        <v>34</v>
      </c>
      <c r="F9" s="5" t="n">
        <v>6062.34</v>
      </c>
      <c r="G9" s="5" t="n">
        <v>5582.5</v>
      </c>
      <c r="H9" s="5" t="n">
        <v>0</v>
      </c>
      <c r="I9" s="5" t="n">
        <v>0</v>
      </c>
      <c r="J9" s="6" t="n">
        <f aca="false">F9-G9-H9</f>
        <v>479.84</v>
      </c>
      <c r="K9" s="7" t="n">
        <f aca="false">J9/(G9+0.5*H9)</f>
        <v>0.0859543215405285</v>
      </c>
      <c r="L9" s="6" t="n">
        <v>4537.95</v>
      </c>
      <c r="M9" s="6" t="n">
        <v>0</v>
      </c>
      <c r="N9" s="6" t="n">
        <v>1524.39</v>
      </c>
      <c r="O9" s="4" t="s">
        <v>35</v>
      </c>
      <c r="P9" s="6" t="n">
        <v>0</v>
      </c>
    </row>
    <row r="10" customFormat="false" ht="15" hidden="false" customHeight="false" outlineLevel="0" collapsed="false">
      <c r="A10" s="4" t="s">
        <v>38</v>
      </c>
      <c r="B10" s="4" t="s">
        <v>39</v>
      </c>
      <c r="C10" s="4" t="s">
        <v>32</v>
      </c>
      <c r="D10" s="4" t="s">
        <v>37</v>
      </c>
      <c r="E10" s="4" t="s">
        <v>34</v>
      </c>
      <c r="F10" s="5" t="n">
        <v>5777.73</v>
      </c>
      <c r="G10" s="5" t="n">
        <v>5364.73</v>
      </c>
      <c r="H10" s="5" t="n">
        <v>0</v>
      </c>
      <c r="I10" s="5" t="n">
        <v>0</v>
      </c>
      <c r="J10" s="6" t="n">
        <f aca="false">F10-G10-H10</f>
        <v>413</v>
      </c>
      <c r="K10" s="7" t="n">
        <f aca="false">J10/(G10+0.5*H10)</f>
        <v>0.0769843030310938</v>
      </c>
      <c r="L10" s="6" t="n">
        <v>3878.86</v>
      </c>
      <c r="M10" s="6" t="n">
        <v>292.11</v>
      </c>
      <c r="N10" s="6" t="n">
        <v>1606.76</v>
      </c>
      <c r="O10" s="4" t="s">
        <v>35</v>
      </c>
      <c r="P10" s="6" t="n">
        <v>0</v>
      </c>
    </row>
    <row r="11" customFormat="false" ht="15" hidden="false" customHeight="false" outlineLevel="0" collapsed="false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44</v>
      </c>
      <c r="F11" s="5" t="n">
        <v>737594.39</v>
      </c>
      <c r="G11" s="5"/>
      <c r="H11" s="5"/>
      <c r="I11" s="5"/>
      <c r="J11" s="4" t="s">
        <v>45</v>
      </c>
      <c r="K11" s="4" t="s">
        <v>45</v>
      </c>
      <c r="L11" s="6" t="n">
        <v>0</v>
      </c>
      <c r="M11" s="6" t="n">
        <v>0</v>
      </c>
      <c r="N11" s="6" t="n">
        <v>0</v>
      </c>
      <c r="O11" s="4" t="s">
        <v>23</v>
      </c>
      <c r="P11" s="6" t="n">
        <v>737594.39</v>
      </c>
    </row>
    <row r="12" customFormat="false" ht="15" hidden="false" customHeight="false" outlineLevel="0" collapsed="false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22</v>
      </c>
      <c r="F12" s="5" t="n">
        <v>57240.39</v>
      </c>
      <c r="G12" s="5" t="n">
        <v>52128.12</v>
      </c>
      <c r="H12" s="5" t="n">
        <v>1200</v>
      </c>
      <c r="I12" s="5"/>
      <c r="J12" s="6" t="n">
        <f aca="false">F12-G12-H12</f>
        <v>3912.27</v>
      </c>
      <c r="K12" s="7" t="n">
        <f aca="false">J12/(G12+0.5*H12)</f>
        <v>0.0741970318683844</v>
      </c>
      <c r="L12" s="6" t="n">
        <v>31482.21</v>
      </c>
      <c r="M12" s="6" t="n">
        <v>25758.18</v>
      </c>
      <c r="N12" s="6" t="n">
        <v>0</v>
      </c>
      <c r="O12" s="4" t="s">
        <v>23</v>
      </c>
      <c r="P12" s="6" t="n">
        <v>0</v>
      </c>
    </row>
    <row r="13" customFormat="false" ht="15" hidden="false" customHeight="false" outlineLevel="0" collapsed="false">
      <c r="A13" s="8" t="s">
        <v>50</v>
      </c>
      <c r="B13" s="9"/>
      <c r="C13" s="9"/>
      <c r="D13" s="9"/>
      <c r="E13" s="9"/>
      <c r="F13" s="10" t="n">
        <f aca="false">SUM(F5:F12)</f>
        <v>1262404.93</v>
      </c>
      <c r="G13" s="10" t="n">
        <f aca="false">SUM(G5:G12)</f>
        <v>486469.04</v>
      </c>
      <c r="H13" s="10" t="n">
        <f aca="false">SUM(H5:H12)</f>
        <v>11408.3</v>
      </c>
      <c r="I13" s="10" t="n">
        <f aca="false">SUM(I5:I12)</f>
        <v>682.79</v>
      </c>
      <c r="J13" s="10" t="n">
        <f aca="false">SUM(J5:J12)</f>
        <v>26933.2</v>
      </c>
      <c r="K13" s="11" t="s">
        <v>51</v>
      </c>
      <c r="L13" s="10" t="n">
        <f aca="false">SUM(L5:L12)</f>
        <v>260535.82</v>
      </c>
      <c r="M13" s="10" t="n">
        <f aca="false">SUM(M5:M12)</f>
        <v>134400.47</v>
      </c>
      <c r="N13" s="10" t="n">
        <f aca="false">SUM(N5:N12)</f>
        <v>129366.51</v>
      </c>
      <c r="O13" s="9"/>
      <c r="P13" s="10" t="n">
        <f aca="false">SUM(P5:P12)</f>
        <v>737594.39</v>
      </c>
    </row>
    <row r="15" customFormat="false" ht="15" hidden="false" customHeight="false" outlineLevel="0" collapsed="false">
      <c r="A15" s="12" t="s">
        <v>52</v>
      </c>
    </row>
    <row r="16" customFormat="false" ht="15" hidden="false" customHeight="false" outlineLevel="0" collapsed="false">
      <c r="A16" s="4" t="s">
        <v>53</v>
      </c>
      <c r="B16" s="6" t="n">
        <f aca="false">L13</f>
        <v>260535.82</v>
      </c>
      <c r="C16" s="7" t="n">
        <f aca="false">B16/$F$13</f>
        <v>0.206380547008795</v>
      </c>
    </row>
    <row r="17" customFormat="false" ht="15" hidden="false" customHeight="false" outlineLevel="0" collapsed="false">
      <c r="A17" s="4" t="s">
        <v>54</v>
      </c>
      <c r="B17" s="6" t="n">
        <f aca="false">P13</f>
        <v>737594.39</v>
      </c>
      <c r="C17" s="7" t="n">
        <f aca="false">B17/$F$13</f>
        <v>0.584277178005</v>
      </c>
    </row>
    <row r="18" customFormat="false" ht="15" hidden="false" customHeight="false" outlineLevel="0" collapsed="false">
      <c r="A18" s="4" t="s">
        <v>55</v>
      </c>
      <c r="B18" s="6" t="n">
        <f aca="false">M13</f>
        <v>134400.47</v>
      </c>
      <c r="C18" s="7" t="n">
        <f aca="false">B18/$F$13</f>
        <v>0.106463834864777</v>
      </c>
    </row>
    <row r="19" customFormat="false" ht="15" hidden="false" customHeight="false" outlineLevel="0" collapsed="false">
      <c r="A19" s="4" t="s">
        <v>56</v>
      </c>
      <c r="B19" s="6" t="n">
        <f aca="false">N13</f>
        <v>129366.51</v>
      </c>
      <c r="C19" s="7" t="n">
        <f aca="false">B19/$F$13</f>
        <v>0.102476239537499</v>
      </c>
    </row>
    <row r="21" customFormat="false" ht="15" hidden="false" customHeight="false" outlineLevel="0" collapsed="false">
      <c r="A21" s="12" t="s">
        <v>57</v>
      </c>
    </row>
    <row r="22" customFormat="false" ht="15" hidden="false" customHeight="false" outlineLevel="0" collapsed="false">
      <c r="A22" s="4" t="s">
        <v>58</v>
      </c>
      <c r="B22" s="6" t="n">
        <f aca="false">SUMIF(C5:C12,"*Equitable*",F5:F12)</f>
        <v>1178234.28</v>
      </c>
      <c r="C22" s="7" t="n">
        <f aca="false">B22/$F$13</f>
        <v>0.93332515740413</v>
      </c>
    </row>
    <row r="23" customFormat="false" ht="15" hidden="false" customHeight="false" outlineLevel="0" collapsed="false">
      <c r="A23" s="4" t="s">
        <v>59</v>
      </c>
      <c r="B23" s="6" t="n">
        <f aca="false">SUMIF(O5:O12,"Yes",F5:F12)</f>
        <v>26930.26</v>
      </c>
      <c r="C23" s="7" t="n">
        <f aca="false">B23/$F$13</f>
        <v>0.0213325054109223</v>
      </c>
    </row>
    <row r="24" customFormat="false" ht="15" hidden="false" customHeight="false" outlineLevel="0" collapsed="false">
      <c r="A24" s="4" t="s">
        <v>60</v>
      </c>
      <c r="B24" s="6" t="n">
        <f aca="false">SUMIF(D5:D12,"529",F5:F12)</f>
        <v>57240.39</v>
      </c>
      <c r="C24" s="7" t="n">
        <f aca="false">B24/$F$13</f>
        <v>0.0453423371849475</v>
      </c>
    </row>
    <row r="25" customFormat="false" ht="15" hidden="false" customHeight="false" outlineLevel="0" collapsed="false">
      <c r="A25" s="4" t="s">
        <v>61</v>
      </c>
      <c r="B25" s="5" t="n">
        <v>9479.86</v>
      </c>
    </row>
    <row r="27" customFormat="false" ht="15" hidden="false" customHeight="false" outlineLevel="0" collapsed="false">
      <c r="A27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63</v>
      </c>
    </row>
    <row r="3" customFormat="false" ht="30" hidden="false" customHeight="true" outlineLevel="0" collapsed="false">
      <c r="A3" s="3" t="s">
        <v>64</v>
      </c>
      <c r="B3" s="3" t="s">
        <v>7</v>
      </c>
      <c r="C3" s="3" t="s">
        <v>65</v>
      </c>
      <c r="D3" s="3" t="s">
        <v>66</v>
      </c>
    </row>
    <row r="4" customFormat="false" ht="15" hidden="false" customHeight="false" outlineLevel="0" collapsed="false">
      <c r="A4" s="4" t="s">
        <v>67</v>
      </c>
      <c r="B4" s="13" t="n">
        <v>1.08</v>
      </c>
      <c r="C4" s="4" t="s">
        <v>68</v>
      </c>
      <c r="D4" s="2" t="s">
        <v>69</v>
      </c>
    </row>
    <row r="5" customFormat="false" ht="15" hidden="false" customHeight="false" outlineLevel="0" collapsed="false">
      <c r="A5" s="4" t="s">
        <v>70</v>
      </c>
      <c r="B5" s="13" t="n">
        <v>0.08</v>
      </c>
      <c r="C5" s="4" t="s">
        <v>68</v>
      </c>
      <c r="D5" s="2" t="s">
        <v>71</v>
      </c>
    </row>
    <row r="6" customFormat="false" ht="15" hidden="false" customHeight="false" outlineLevel="0" collapsed="false">
      <c r="A6" s="4" t="s">
        <v>72</v>
      </c>
      <c r="B6" s="13" t="n">
        <v>3.7</v>
      </c>
      <c r="C6" s="4" t="s">
        <v>68</v>
      </c>
      <c r="D6" s="2" t="s">
        <v>73</v>
      </c>
    </row>
    <row r="7" customFormat="false" ht="15" hidden="false" customHeight="false" outlineLevel="0" collapsed="false">
      <c r="A7" s="4" t="s">
        <v>74</v>
      </c>
      <c r="B7" s="13" t="n">
        <v>2</v>
      </c>
      <c r="C7" s="4" t="s">
        <v>68</v>
      </c>
      <c r="D7" s="2" t="s">
        <v>75</v>
      </c>
    </row>
    <row r="8" customFormat="false" ht="15" hidden="false" customHeight="false" outlineLevel="0" collapsed="false">
      <c r="A8" s="4" t="s">
        <v>76</v>
      </c>
      <c r="B8" s="13" t="n">
        <v>0.01</v>
      </c>
      <c r="C8" s="4" t="s">
        <v>68</v>
      </c>
      <c r="D8" s="2" t="s">
        <v>77</v>
      </c>
    </row>
    <row r="9" customFormat="false" ht="15" hidden="false" customHeight="false" outlineLevel="0" collapsed="false">
      <c r="A9" s="4" t="s">
        <v>78</v>
      </c>
      <c r="B9" s="13" t="n">
        <v>125</v>
      </c>
      <c r="C9" s="4" t="s">
        <v>79</v>
      </c>
      <c r="D9" s="2" t="s">
        <v>80</v>
      </c>
    </row>
    <row r="10" customFormat="false" ht="15" hidden="false" customHeight="false" outlineLevel="0" collapsed="false">
      <c r="A10" s="4" t="s">
        <v>81</v>
      </c>
      <c r="B10" s="13" t="n">
        <v>100</v>
      </c>
      <c r="C10" s="4" t="s">
        <v>82</v>
      </c>
      <c r="D10" s="2" t="s">
        <v>83</v>
      </c>
    </row>
    <row r="11" customFormat="false" ht="15" hidden="false" customHeight="false" outlineLevel="0" collapsed="false">
      <c r="A11" s="4" t="s">
        <v>84</v>
      </c>
      <c r="B11" s="13" t="n">
        <v>0</v>
      </c>
      <c r="C11" s="4" t="s">
        <v>82</v>
      </c>
      <c r="D11" s="2" t="s">
        <v>85</v>
      </c>
    </row>
    <row r="12" customFormat="false" ht="15" hidden="false" customHeight="false" outlineLevel="0" collapsed="false">
      <c r="A12" s="4" t="s">
        <v>86</v>
      </c>
      <c r="B12" s="13" t="n">
        <v>2250</v>
      </c>
      <c r="C12" s="4" t="s">
        <v>87</v>
      </c>
      <c r="D12" s="2" t="s">
        <v>88</v>
      </c>
    </row>
    <row r="13" customFormat="false" ht="15" hidden="false" customHeight="false" outlineLevel="0" collapsed="false">
      <c r="A13" s="4" t="s">
        <v>89</v>
      </c>
      <c r="B13" s="13" t="n">
        <v>351.66</v>
      </c>
      <c r="C13" s="4" t="s">
        <v>90</v>
      </c>
      <c r="D13" s="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9" min="7" style="0" width="9"/>
  </cols>
  <sheetData>
    <row r="1" customFormat="false" ht="17.35" hidden="false" customHeight="false" outlineLevel="0" collapsed="false">
      <c r="A1" s="1" t="s">
        <v>92</v>
      </c>
    </row>
    <row r="3" customFormat="false" ht="30" hidden="false" customHeight="true" outlineLevel="0" collapsed="false">
      <c r="A3" s="3" t="s">
        <v>2</v>
      </c>
      <c r="B3" s="3" t="s">
        <v>93</v>
      </c>
      <c r="C3" s="3" t="s">
        <v>94</v>
      </c>
      <c r="D3" s="3" t="s">
        <v>7</v>
      </c>
      <c r="E3" s="3" t="s">
        <v>95</v>
      </c>
      <c r="F3" s="3" t="s">
        <v>96</v>
      </c>
      <c r="G3" s="3" t="s">
        <v>97</v>
      </c>
      <c r="H3" s="3" t="s">
        <v>98</v>
      </c>
      <c r="I3" s="3" t="s">
        <v>99</v>
      </c>
    </row>
    <row r="4" customFormat="false" ht="15" hidden="false" customHeight="false" outlineLevel="0" collapsed="false">
      <c r="A4" s="4" t="s">
        <v>18</v>
      </c>
      <c r="B4" s="4" t="s">
        <v>100</v>
      </c>
      <c r="C4" s="4" t="s">
        <v>101</v>
      </c>
      <c r="D4" s="5" t="n">
        <v>253869.26</v>
      </c>
      <c r="E4" s="7" t="n">
        <f aca="false">D4/372922.5</f>
        <v>0.680756082027767</v>
      </c>
      <c r="F4" s="7" t="n">
        <f aca="false">D4/'Household Summary'!$F$13</f>
        <v>0.201099705781409</v>
      </c>
      <c r="G4" s="14" t="n">
        <v>0.758</v>
      </c>
      <c r="H4" s="14" t="n">
        <v>0.24</v>
      </c>
      <c r="I4" s="14" t="n">
        <v>0</v>
      </c>
    </row>
    <row r="5" customFormat="false" ht="15" hidden="false" customHeight="false" outlineLevel="0" collapsed="false">
      <c r="A5" s="4" t="s">
        <v>18</v>
      </c>
      <c r="B5" s="4" t="s">
        <v>102</v>
      </c>
      <c r="C5" s="4" t="s">
        <v>103</v>
      </c>
      <c r="D5" s="5" t="n">
        <v>119053.24</v>
      </c>
      <c r="E5" s="7" t="n">
        <f aca="false">D5/372922.5</f>
        <v>0.319243917972233</v>
      </c>
      <c r="F5" s="7" t="n">
        <f aca="false">D5/'Household Summary'!$F$13</f>
        <v>0.0943066976140532</v>
      </c>
      <c r="G5" s="14" t="n">
        <v>0</v>
      </c>
      <c r="H5" s="14" t="n">
        <v>0</v>
      </c>
      <c r="I5" s="14" t="n">
        <v>1</v>
      </c>
    </row>
    <row r="6" customFormat="false" ht="15" hidden="false" customHeight="false" outlineLevel="0" collapsed="false">
      <c r="A6" s="4" t="s">
        <v>24</v>
      </c>
      <c r="B6" s="4" t="s">
        <v>104</v>
      </c>
      <c r="C6" s="4" t="s">
        <v>101</v>
      </c>
      <c r="D6" s="5" t="n">
        <v>11872.47</v>
      </c>
      <c r="E6" s="7" t="n">
        <f aca="false">D6/11872.47</f>
        <v>1</v>
      </c>
      <c r="F6" s="7" t="n">
        <f aca="false">D6/'Household Summary'!$F$13</f>
        <v>0.00940464483135376</v>
      </c>
      <c r="G6" s="14" t="n">
        <v>0.8</v>
      </c>
      <c r="H6" s="14" t="n">
        <v>0.2</v>
      </c>
      <c r="I6" s="14" t="n">
        <v>0</v>
      </c>
    </row>
    <row r="7" customFormat="false" ht="15" hidden="false" customHeight="false" outlineLevel="0" collapsed="false">
      <c r="A7" s="4" t="s">
        <v>26</v>
      </c>
      <c r="B7" s="4" t="s">
        <v>105</v>
      </c>
      <c r="C7" s="4" t="s">
        <v>106</v>
      </c>
      <c r="D7" s="5" t="n">
        <v>43976</v>
      </c>
      <c r="E7" s="7" t="n">
        <f aca="false">D7/55844.92</f>
        <v>0.787466433831403</v>
      </c>
      <c r="F7" s="7" t="n">
        <f aca="false">D7/'Household Summary'!$F$13</f>
        <v>0.0348350984339074</v>
      </c>
      <c r="G7" s="14" t="n">
        <v>0</v>
      </c>
      <c r="H7" s="14" t="n">
        <v>1</v>
      </c>
      <c r="I7" s="14" t="n">
        <v>0</v>
      </c>
    </row>
    <row r="8" customFormat="false" ht="15" hidden="false" customHeight="false" outlineLevel="0" collapsed="false">
      <c r="A8" s="4" t="s">
        <v>26</v>
      </c>
      <c r="B8" s="4" t="s">
        <v>107</v>
      </c>
      <c r="C8" s="4" t="s">
        <v>108</v>
      </c>
      <c r="D8" s="5" t="n">
        <v>11105.9</v>
      </c>
      <c r="E8" s="7" t="n">
        <f aca="false">D8/55844.92</f>
        <v>0.198870371736588</v>
      </c>
      <c r="F8" s="7" t="n">
        <f aca="false">D8/'Household Summary'!$F$13</f>
        <v>0.00879741494672395</v>
      </c>
      <c r="G8" s="14" t="n">
        <v>1</v>
      </c>
      <c r="H8" s="14" t="n">
        <v>0</v>
      </c>
      <c r="I8" s="14" t="n">
        <v>0</v>
      </c>
    </row>
    <row r="9" customFormat="false" ht="15" hidden="false" customHeight="false" outlineLevel="0" collapsed="false">
      <c r="A9" s="4" t="s">
        <v>26</v>
      </c>
      <c r="B9" s="4" t="s">
        <v>109</v>
      </c>
      <c r="C9" s="4" t="s">
        <v>110</v>
      </c>
      <c r="D9" s="5" t="n">
        <v>763.02</v>
      </c>
      <c r="E9" s="7" t="n">
        <f aca="false">D9/55844.92</f>
        <v>0.0136631944320092</v>
      </c>
      <c r="F9" s="7" t="n">
        <f aca="false">D9/'Household Summary'!$F$13</f>
        <v>0.000604417791682737</v>
      </c>
      <c r="G9" s="14" t="n">
        <v>0</v>
      </c>
      <c r="H9" s="14" t="n">
        <v>0</v>
      </c>
      <c r="I9" s="14" t="n">
        <v>1</v>
      </c>
    </row>
    <row r="10" customFormat="false" ht="15" hidden="false" customHeight="false" outlineLevel="0" collapsed="false">
      <c r="A10" s="4" t="s">
        <v>30</v>
      </c>
      <c r="B10" s="4" t="s">
        <v>111</v>
      </c>
      <c r="C10" s="4" t="s">
        <v>112</v>
      </c>
      <c r="D10" s="5" t="n">
        <v>6882.92</v>
      </c>
      <c r="E10" s="7" t="n">
        <f aca="false">D10/15090.19</f>
        <v>0.456118842771363</v>
      </c>
      <c r="F10" s="7" t="n">
        <f aca="false">D10/'Household Summary'!$F$13</f>
        <v>0.00545222839077474</v>
      </c>
      <c r="G10" s="14" t="n">
        <v>1</v>
      </c>
      <c r="H10" s="14" t="n">
        <v>0</v>
      </c>
      <c r="I10" s="14" t="n">
        <v>0</v>
      </c>
    </row>
    <row r="11" customFormat="false" ht="15" hidden="false" customHeight="false" outlineLevel="0" collapsed="false">
      <c r="A11" s="4" t="s">
        <v>30</v>
      </c>
      <c r="B11" s="4" t="s">
        <v>113</v>
      </c>
      <c r="C11" s="4" t="s">
        <v>114</v>
      </c>
      <c r="D11" s="5" t="n">
        <v>1071.07</v>
      </c>
      <c r="E11" s="7" t="n">
        <f aca="false">D11/15090.19</f>
        <v>0.070977900211992</v>
      </c>
      <c r="F11" s="7" t="n">
        <f aca="false">D11/'Household Summary'!$F$13</f>
        <v>0.000848436166991205</v>
      </c>
      <c r="G11" s="14" t="n">
        <v>0</v>
      </c>
      <c r="H11" s="14" t="n">
        <v>1</v>
      </c>
      <c r="I11" s="14" t="n">
        <v>0</v>
      </c>
    </row>
    <row r="12" customFormat="false" ht="15" hidden="false" customHeight="false" outlineLevel="0" collapsed="false">
      <c r="A12" s="4" t="s">
        <v>30</v>
      </c>
      <c r="B12" s="4" t="s">
        <v>115</v>
      </c>
      <c r="C12" s="4" t="s">
        <v>108</v>
      </c>
      <c r="D12" s="5" t="n">
        <v>717.1</v>
      </c>
      <c r="E12" s="7" t="n">
        <f aca="false">D12/15090.19</f>
        <v>0.0475209391001704</v>
      </c>
      <c r="F12" s="7" t="n">
        <f aca="false">D12/'Household Summary'!$F$13</f>
        <v>0.000568042775308237</v>
      </c>
      <c r="G12" s="14" t="n">
        <v>1</v>
      </c>
      <c r="H12" s="14" t="n">
        <v>0</v>
      </c>
      <c r="I12" s="14" t="n">
        <v>0</v>
      </c>
    </row>
    <row r="13" customFormat="false" ht="15" hidden="false" customHeight="false" outlineLevel="0" collapsed="false">
      <c r="A13" s="4" t="s">
        <v>30</v>
      </c>
      <c r="B13" s="4" t="s">
        <v>116</v>
      </c>
      <c r="C13" s="4" t="s">
        <v>110</v>
      </c>
      <c r="D13" s="5" t="n">
        <v>6419.1</v>
      </c>
      <c r="E13" s="7" t="n">
        <f aca="false">D13/15090.19</f>
        <v>0.425382317916474</v>
      </c>
      <c r="F13" s="7" t="n">
        <f aca="false">D13/'Household Summary'!$F$13</f>
        <v>0.00508481854550426</v>
      </c>
      <c r="G13" s="14" t="n">
        <v>0</v>
      </c>
      <c r="H13" s="14" t="n">
        <v>0</v>
      </c>
      <c r="I13" s="14" t="n">
        <v>1</v>
      </c>
    </row>
    <row r="14" customFormat="false" ht="15" hidden="false" customHeight="false" outlineLevel="0" collapsed="false">
      <c r="A14" s="4" t="s">
        <v>36</v>
      </c>
      <c r="B14" s="4" t="s">
        <v>117</v>
      </c>
      <c r="C14" s="4" t="s">
        <v>112</v>
      </c>
      <c r="D14" s="5" t="n">
        <v>3128.6</v>
      </c>
      <c r="E14" s="7" t="n">
        <f aca="false">D14/6062.34</f>
        <v>0.516071351986197</v>
      </c>
      <c r="F14" s="7" t="n">
        <f aca="false">D14/'Household Summary'!$F$13</f>
        <v>0.00247828563217034</v>
      </c>
      <c r="G14" s="14" t="n">
        <v>1</v>
      </c>
      <c r="H14" s="14" t="n">
        <v>0</v>
      </c>
      <c r="I14" s="14" t="n">
        <v>0</v>
      </c>
    </row>
    <row r="15" customFormat="false" ht="15" hidden="false" customHeight="false" outlineLevel="0" collapsed="false">
      <c r="A15" s="4" t="s">
        <v>36</v>
      </c>
      <c r="B15" s="4" t="s">
        <v>118</v>
      </c>
      <c r="C15" s="4" t="s">
        <v>119</v>
      </c>
      <c r="D15" s="5" t="n">
        <v>1409.35</v>
      </c>
      <c r="E15" s="7" t="n">
        <f aca="false">D15/6062.34</f>
        <v>0.232476238548151</v>
      </c>
      <c r="F15" s="7" t="n">
        <f aca="false">D15/'Household Summary'!$F$13</f>
        <v>0.00111640089998698</v>
      </c>
      <c r="G15" s="14" t="n">
        <v>1</v>
      </c>
      <c r="H15" s="14" t="n">
        <v>0</v>
      </c>
      <c r="I15" s="14" t="n">
        <v>0</v>
      </c>
    </row>
    <row r="16" customFormat="false" ht="15" hidden="false" customHeight="false" outlineLevel="0" collapsed="false">
      <c r="A16" s="4" t="s">
        <v>36</v>
      </c>
      <c r="B16" s="4" t="s">
        <v>120</v>
      </c>
      <c r="C16" s="4" t="s">
        <v>121</v>
      </c>
      <c r="D16" s="5" t="n">
        <v>365.65</v>
      </c>
      <c r="E16" s="7" t="n">
        <f aca="false">D16/6062.34</f>
        <v>0.0603149938802509</v>
      </c>
      <c r="F16" s="7" t="n">
        <f aca="false">D16/'Household Summary'!$F$13</f>
        <v>0.000289645573548259</v>
      </c>
      <c r="G16" s="14" t="n">
        <v>0</v>
      </c>
      <c r="H16" s="14" t="n">
        <v>0</v>
      </c>
      <c r="I16" s="14" t="n">
        <v>1</v>
      </c>
    </row>
    <row r="17" customFormat="false" ht="15" hidden="false" customHeight="false" outlineLevel="0" collapsed="false">
      <c r="A17" s="4" t="s">
        <v>36</v>
      </c>
      <c r="B17" s="4" t="s">
        <v>116</v>
      </c>
      <c r="C17" s="4" t="s">
        <v>110</v>
      </c>
      <c r="D17" s="5" t="n">
        <v>1158.74</v>
      </c>
      <c r="E17" s="7" t="n">
        <f aca="false">D17/6062.34</f>
        <v>0.191137415585401</v>
      </c>
      <c r="F17" s="7" t="n">
        <f aca="false">D17/'Household Summary'!$F$13</f>
        <v>0.000917882980700971</v>
      </c>
      <c r="G17" s="14" t="n">
        <v>0</v>
      </c>
      <c r="H17" s="14" t="n">
        <v>0</v>
      </c>
      <c r="I17" s="14" t="n">
        <v>1</v>
      </c>
    </row>
    <row r="18" customFormat="false" ht="15" hidden="false" customHeight="false" outlineLevel="0" collapsed="false">
      <c r="A18" s="4" t="s">
        <v>38</v>
      </c>
      <c r="B18" s="4" t="s">
        <v>117</v>
      </c>
      <c r="C18" s="4" t="s">
        <v>112</v>
      </c>
      <c r="D18" s="5" t="n">
        <v>2502.88</v>
      </c>
      <c r="E18" s="7" t="n">
        <f aca="false">D18/5777.73</f>
        <v>0.433194351414829</v>
      </c>
      <c r="F18" s="7" t="n">
        <f aca="false">D18/'Household Summary'!$F$13</f>
        <v>0.00198262850573627</v>
      </c>
      <c r="G18" s="14" t="n">
        <v>1</v>
      </c>
      <c r="H18" s="14" t="n">
        <v>0</v>
      </c>
      <c r="I18" s="14" t="n">
        <v>0</v>
      </c>
    </row>
    <row r="19" customFormat="false" ht="15" hidden="false" customHeight="false" outlineLevel="0" collapsed="false">
      <c r="A19" s="4" t="s">
        <v>38</v>
      </c>
      <c r="B19" s="4" t="s">
        <v>122</v>
      </c>
      <c r="C19" s="4" t="s">
        <v>119</v>
      </c>
      <c r="D19" s="5" t="n">
        <v>1375.98</v>
      </c>
      <c r="E19" s="7" t="n">
        <f aca="false">D19/5777.73</f>
        <v>0.238152353952158</v>
      </c>
      <c r="F19" s="7" t="n">
        <f aca="false">D19/'Household Summary'!$F$13</f>
        <v>0.00108996722628452</v>
      </c>
      <c r="G19" s="14" t="n">
        <v>1</v>
      </c>
      <c r="H19" s="14" t="n">
        <v>0</v>
      </c>
      <c r="I19" s="14" t="n">
        <v>0</v>
      </c>
    </row>
    <row r="20" customFormat="false" ht="15" hidden="false" customHeight="false" outlineLevel="0" collapsed="false">
      <c r="A20" s="4" t="s">
        <v>38</v>
      </c>
      <c r="B20" s="4" t="s">
        <v>123</v>
      </c>
      <c r="C20" s="4" t="s">
        <v>114</v>
      </c>
      <c r="D20" s="5" t="n">
        <v>292.11</v>
      </c>
      <c r="E20" s="7" t="n">
        <f aca="false">D20/5777.73</f>
        <v>0.0505579180750918</v>
      </c>
      <c r="F20" s="7" t="n">
        <f aca="false">D20/'Household Summary'!$F$13</f>
        <v>0.000231391681906692</v>
      </c>
      <c r="G20" s="14" t="n">
        <v>0</v>
      </c>
      <c r="H20" s="14" t="n">
        <v>1</v>
      </c>
      <c r="I20" s="14" t="n">
        <v>0</v>
      </c>
    </row>
    <row r="21" customFormat="false" ht="15" hidden="false" customHeight="false" outlineLevel="0" collapsed="false">
      <c r="A21" s="4" t="s">
        <v>38</v>
      </c>
      <c r="B21" s="4" t="s">
        <v>120</v>
      </c>
      <c r="C21" s="4" t="s">
        <v>121</v>
      </c>
      <c r="D21" s="5" t="n">
        <v>467.76</v>
      </c>
      <c r="E21" s="7" t="n">
        <f aca="false">D21/5777.73</f>
        <v>0.0809591310081987</v>
      </c>
      <c r="F21" s="7" t="n">
        <f aca="false">D21/'Household Summary'!$F$13</f>
        <v>0.000370530872372306</v>
      </c>
      <c r="G21" s="14" t="n">
        <v>0</v>
      </c>
      <c r="H21" s="14" t="n">
        <v>0</v>
      </c>
      <c r="I21" s="14" t="n">
        <v>1</v>
      </c>
    </row>
    <row r="22" customFormat="false" ht="15" hidden="false" customHeight="false" outlineLevel="0" collapsed="false">
      <c r="A22" s="4" t="s">
        <v>38</v>
      </c>
      <c r="B22" s="4" t="s">
        <v>116</v>
      </c>
      <c r="C22" s="4" t="s">
        <v>110</v>
      </c>
      <c r="D22" s="5" t="n">
        <v>1139</v>
      </c>
      <c r="E22" s="7" t="n">
        <f aca="false">D22/5777.73</f>
        <v>0.197136245549723</v>
      </c>
      <c r="F22" s="7" t="n">
        <f aca="false">D22/'Household Summary'!$F$13</f>
        <v>0.000902246159637542</v>
      </c>
      <c r="G22" s="14" t="n">
        <v>0</v>
      </c>
      <c r="H22" s="14" t="n">
        <v>0</v>
      </c>
      <c r="I22" s="14" t="n">
        <v>1</v>
      </c>
    </row>
    <row r="23" customFormat="false" ht="15" hidden="false" customHeight="false" outlineLevel="0" collapsed="false">
      <c r="A23" s="4" t="s">
        <v>40</v>
      </c>
      <c r="B23" s="4" t="s">
        <v>124</v>
      </c>
      <c r="C23" s="4" t="s">
        <v>125</v>
      </c>
      <c r="D23" s="5" t="n">
        <v>334870.81</v>
      </c>
      <c r="E23" s="7" t="n">
        <f aca="false">D23/737594.39</f>
        <v>0.454004008897085</v>
      </c>
      <c r="F23" s="7" t="n">
        <f aca="false">D23/'Household Summary'!$F$13</f>
        <v>0.265264181121346</v>
      </c>
      <c r="G23" s="14" t="n">
        <v>1</v>
      </c>
      <c r="H23" s="14" t="n">
        <v>0</v>
      </c>
      <c r="I23" s="14" t="n">
        <v>0</v>
      </c>
    </row>
    <row r="24" customFormat="false" ht="15" hidden="false" customHeight="false" outlineLevel="0" collapsed="false">
      <c r="A24" s="4" t="s">
        <v>40</v>
      </c>
      <c r="B24" s="4" t="s">
        <v>126</v>
      </c>
      <c r="C24" s="4" t="s">
        <v>125</v>
      </c>
      <c r="D24" s="5" t="n">
        <v>174941.8</v>
      </c>
      <c r="E24" s="7" t="n">
        <f aca="false">D24/737594.39</f>
        <v>0.237178864660291</v>
      </c>
      <c r="F24" s="7" t="n">
        <f aca="false">D24/'Household Summary'!$F$13</f>
        <v>0.138578197726145</v>
      </c>
      <c r="G24" s="14" t="n">
        <v>1</v>
      </c>
      <c r="H24" s="14" t="n">
        <v>0</v>
      </c>
      <c r="I24" s="14" t="n">
        <v>0</v>
      </c>
    </row>
    <row r="25" customFormat="false" ht="15" hidden="false" customHeight="false" outlineLevel="0" collapsed="false">
      <c r="A25" s="4" t="s">
        <v>40</v>
      </c>
      <c r="B25" s="4" t="s">
        <v>127</v>
      </c>
      <c r="C25" s="4" t="s">
        <v>125</v>
      </c>
      <c r="D25" s="5" t="n">
        <v>137494.61</v>
      </c>
      <c r="E25" s="7" t="n">
        <f aca="false">D25/737594.39</f>
        <v>0.186409511601627</v>
      </c>
      <c r="F25" s="7" t="n">
        <f aca="false">D25/'Household Summary'!$F$13</f>
        <v>0.108914823391889</v>
      </c>
      <c r="G25" s="14" t="n">
        <v>1</v>
      </c>
      <c r="H25" s="14" t="n">
        <v>0</v>
      </c>
      <c r="I25" s="14" t="n">
        <v>0</v>
      </c>
    </row>
    <row r="26" customFormat="false" ht="15" hidden="false" customHeight="false" outlineLevel="0" collapsed="false">
      <c r="A26" s="4" t="s">
        <v>40</v>
      </c>
      <c r="B26" s="4" t="s">
        <v>128</v>
      </c>
      <c r="C26" s="4" t="s">
        <v>125</v>
      </c>
      <c r="D26" s="5" t="n">
        <v>68818.96</v>
      </c>
      <c r="E26" s="7" t="n">
        <f aca="false">D26/737594.39</f>
        <v>0.0933019026893629</v>
      </c>
      <c r="F26" s="7" t="n">
        <f aca="false">D26/'Household Summary'!$F$13</f>
        <v>0.0545141724058381</v>
      </c>
      <c r="G26" s="14" t="n">
        <v>1</v>
      </c>
      <c r="H26" s="14" t="n">
        <v>0</v>
      </c>
      <c r="I26" s="14" t="n">
        <v>0</v>
      </c>
    </row>
    <row r="27" customFormat="false" ht="15" hidden="false" customHeight="false" outlineLevel="0" collapsed="false">
      <c r="A27" s="4" t="s">
        <v>40</v>
      </c>
      <c r="B27" s="4" t="s">
        <v>129</v>
      </c>
      <c r="C27" s="4" t="s">
        <v>125</v>
      </c>
      <c r="D27" s="5" t="n">
        <v>21468.21</v>
      </c>
      <c r="E27" s="7" t="n">
        <f aca="false">D27/737594.39</f>
        <v>0.0291057121516339</v>
      </c>
      <c r="F27" s="7" t="n">
        <f aca="false">D27/'Household Summary'!$F$13</f>
        <v>0.0170058033597825</v>
      </c>
      <c r="G27" s="14" t="n">
        <v>1</v>
      </c>
      <c r="H27" s="14" t="n">
        <v>0</v>
      </c>
      <c r="I27" s="14" t="n">
        <v>0</v>
      </c>
    </row>
    <row r="28" customFormat="false" ht="15" hidden="false" customHeight="false" outlineLevel="0" collapsed="false">
      <c r="A28" s="4" t="s">
        <v>46</v>
      </c>
      <c r="B28" s="4" t="s">
        <v>130</v>
      </c>
      <c r="C28" s="4" t="s">
        <v>131</v>
      </c>
      <c r="D28" s="5" t="n">
        <v>57240.39</v>
      </c>
      <c r="E28" s="7" t="n">
        <f aca="false">D28/57240.39</f>
        <v>1</v>
      </c>
      <c r="F28" s="7" t="n">
        <f aca="false">D28/'Household Summary'!$F$13</f>
        <v>0.0453423371849475</v>
      </c>
      <c r="G28" s="14" t="n">
        <v>0.55</v>
      </c>
      <c r="H28" s="14" t="n">
        <v>0.45</v>
      </c>
      <c r="I28" s="14" t="n">
        <v>0</v>
      </c>
    </row>
    <row r="29" customFormat="false" ht="15" hidden="false" customHeight="false" outlineLevel="0" collapsed="false">
      <c r="A29" s="12" t="s">
        <v>50</v>
      </c>
      <c r="D29" s="15" t="n">
        <f aca="false">SUM(D4:D28)</f>
        <v>1262404.93</v>
      </c>
      <c r="F29" s="16" t="n">
        <f aca="false">SUM(F4:F28)</f>
        <v>1</v>
      </c>
    </row>
  </sheetData>
  <autoFilter ref="A3:I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30" hidden="false" customHeight="true" outlineLevel="0" collapsed="false">
      <c r="A4" s="3" t="s">
        <v>134</v>
      </c>
      <c r="B4" s="3" t="s">
        <v>135</v>
      </c>
      <c r="C4" s="3" t="s">
        <v>136</v>
      </c>
      <c r="D4" s="3" t="s">
        <v>137</v>
      </c>
      <c r="E4" s="3" t="s">
        <v>138</v>
      </c>
    </row>
    <row r="5" customFormat="false" ht="15" hidden="false" customHeight="false" outlineLevel="0" collapsed="false">
      <c r="A5" s="4" t="s">
        <v>139</v>
      </c>
      <c r="B5" s="5" t="n">
        <v>265741.73</v>
      </c>
      <c r="E5" s="2" t="s">
        <v>140</v>
      </c>
    </row>
    <row r="6" customFormat="false" ht="15" hidden="false" customHeight="false" outlineLevel="0" collapsed="false">
      <c r="A6" s="4" t="s">
        <v>141</v>
      </c>
      <c r="B6" s="5" t="n">
        <v>119053.24</v>
      </c>
      <c r="E6" s="2" t="s">
        <v>140</v>
      </c>
    </row>
    <row r="7" customFormat="false" ht="15" hidden="false" customHeight="false" outlineLevel="0" collapsed="false">
      <c r="A7" s="4" t="s">
        <v>142</v>
      </c>
      <c r="B7" s="6" t="n">
        <f aca="false">B5</f>
        <v>265741.73</v>
      </c>
      <c r="C7" s="7" t="n">
        <f aca="false">Assumptions!$B$13*4/B5</f>
        <v>0.00529325973756549</v>
      </c>
      <c r="D7" s="6" t="n">
        <f aca="false">B7*C7</f>
        <v>1406.64</v>
      </c>
      <c r="E7" s="2" t="s">
        <v>143</v>
      </c>
    </row>
    <row r="8" customFormat="false" ht="15" hidden="false" customHeight="false" outlineLevel="0" collapsed="false">
      <c r="A8" s="4" t="s">
        <v>144</v>
      </c>
      <c r="B8" s="6" t="n">
        <f aca="false">B5</f>
        <v>265741.73</v>
      </c>
      <c r="C8" s="7" t="n">
        <f aca="false">Assumptions!$B$4/100</f>
        <v>0.0108</v>
      </c>
      <c r="D8" s="6" t="n">
        <f aca="false">B8*C8</f>
        <v>2870.010684</v>
      </c>
      <c r="E8" s="2" t="s">
        <v>145</v>
      </c>
    </row>
    <row r="9" customFormat="false" ht="15" hidden="false" customHeight="false" outlineLevel="0" collapsed="false">
      <c r="A9" s="4" t="s">
        <v>146</v>
      </c>
      <c r="B9" s="6" t="n">
        <f aca="false">B6</f>
        <v>119053.24</v>
      </c>
      <c r="C9" s="7" t="n">
        <f aca="false">(Assumptions!$B$6-Assumptions!$B$7)/100</f>
        <v>0.017</v>
      </c>
      <c r="D9" s="6" t="n">
        <f aca="false">B9*C9</f>
        <v>2023.90508</v>
      </c>
      <c r="E9" s="2" t="s">
        <v>147</v>
      </c>
    </row>
    <row r="10" customFormat="false" ht="15" hidden="false" customHeight="false" outlineLevel="0" collapsed="false">
      <c r="A10" s="4" t="s">
        <v>148</v>
      </c>
      <c r="B10" s="5" t="n">
        <v>9479.86</v>
      </c>
      <c r="C10" s="7" t="n">
        <f aca="false">(Assumptions!$B$6-Assumptions!$B$8)/100</f>
        <v>0.0369</v>
      </c>
      <c r="D10" s="6" t="n">
        <f aca="false">B10*C10</f>
        <v>349.806834</v>
      </c>
      <c r="E10" s="2" t="s">
        <v>149</v>
      </c>
    </row>
    <row r="11" customFormat="false" ht="15" hidden="false" customHeight="false" outlineLevel="0" collapsed="false">
      <c r="A11" s="8" t="s">
        <v>150</v>
      </c>
      <c r="B11" s="9"/>
      <c r="C11" s="11" t="n">
        <f aca="false">D11/(B5+B6)</f>
        <v>0.0172828730011726</v>
      </c>
      <c r="D11" s="10" t="n">
        <f aca="false">SUM(D7:D10)</f>
        <v>6650.362598</v>
      </c>
      <c r="E11" s="17" t="s">
        <v>151</v>
      </c>
    </row>
    <row r="13" customFormat="false" ht="15" hidden="false" customHeight="false" outlineLevel="0" collapsed="false">
      <c r="A13" s="12" t="s">
        <v>152</v>
      </c>
    </row>
    <row r="14" customFormat="false" ht="15" hidden="false" customHeight="false" outlineLevel="0" collapsed="false">
      <c r="A14" s="4" t="s">
        <v>153</v>
      </c>
      <c r="B14" s="6" t="n">
        <f aca="false">B5+B6</f>
        <v>384794.97</v>
      </c>
      <c r="C14" s="7" t="n">
        <v>0</v>
      </c>
      <c r="D14" s="6" t="n">
        <f aca="false">Assumptions!$B$11</f>
        <v>0</v>
      </c>
      <c r="E14" s="2" t="s">
        <v>154</v>
      </c>
    </row>
    <row r="15" customFormat="false" ht="15" hidden="false" customHeight="false" outlineLevel="0" collapsed="false">
      <c r="A15" s="4" t="s">
        <v>155</v>
      </c>
      <c r="B15" s="6" t="n">
        <f aca="false">B5</f>
        <v>265741.73</v>
      </c>
      <c r="C15" s="7" t="n">
        <f aca="false">Assumptions!$B$5/100</f>
        <v>0.0008</v>
      </c>
      <c r="D15" s="6" t="n">
        <f aca="false">B15*C15</f>
        <v>212.593384</v>
      </c>
    </row>
    <row r="16" customFormat="false" ht="15" hidden="false" customHeight="false" outlineLevel="0" collapsed="false">
      <c r="A16" s="4" t="s">
        <v>156</v>
      </c>
      <c r="B16" s="6" t="n">
        <f aca="false">B6</f>
        <v>119053.24</v>
      </c>
      <c r="C16" s="7" t="n">
        <v>0</v>
      </c>
      <c r="D16" s="6" t="n">
        <v>0</v>
      </c>
    </row>
    <row r="17" customFormat="false" ht="15" hidden="false" customHeight="false" outlineLevel="0" collapsed="false">
      <c r="A17" s="4" t="s">
        <v>157</v>
      </c>
      <c r="B17" s="6" t="n">
        <f aca="false">B10</f>
        <v>9479.86</v>
      </c>
      <c r="C17" s="7" t="n">
        <v>0</v>
      </c>
      <c r="D17" s="6" t="n">
        <v>0</v>
      </c>
    </row>
    <row r="18" customFormat="false" ht="15" hidden="false" customHeight="false" outlineLevel="0" collapsed="false">
      <c r="A18" s="8" t="s">
        <v>158</v>
      </c>
      <c r="B18" s="9"/>
      <c r="C18" s="11" t="n">
        <f aca="false">D18/(B5+B6)</f>
        <v>0.000552484831077704</v>
      </c>
      <c r="D18" s="10" t="n">
        <f aca="false">SUM(D14:D17)</f>
        <v>212.593384</v>
      </c>
      <c r="E18" s="9"/>
    </row>
    <row r="20" customFormat="false" ht="15" hidden="false" customHeight="false" outlineLevel="0" collapsed="false">
      <c r="A20" s="12" t="s">
        <v>159</v>
      </c>
      <c r="C20" s="16" t="n">
        <f aca="false">D20/(B5+B6)</f>
        <v>0.0167303881700948</v>
      </c>
      <c r="D20" s="15" t="n">
        <f aca="false">D11-D18</f>
        <v>6437.769214</v>
      </c>
    </row>
    <row r="21" customFormat="false" ht="15" hidden="false" customHeight="false" outlineLevel="0" collapsed="false">
      <c r="A21" s="4" t="s">
        <v>160</v>
      </c>
      <c r="D21" s="6" t="n">
        <f aca="false">Assumptions!$B$9</f>
        <v>125</v>
      </c>
      <c r="E21" s="18" t="s">
        <v>161</v>
      </c>
    </row>
    <row r="22" customFormat="false" ht="15" hidden="false" customHeight="false" outlineLevel="0" collapsed="false">
      <c r="A22" s="4" t="s">
        <v>162</v>
      </c>
      <c r="D22" s="6" t="n">
        <f aca="false">D20*10</f>
        <v>64377.69214</v>
      </c>
    </row>
    <row r="24" customFormat="false" ht="15" hidden="false" customHeight="false" outlineLevel="0" collapsed="false">
      <c r="A24" s="12" t="s">
        <v>163</v>
      </c>
    </row>
    <row r="25" customFormat="false" ht="30" hidden="false" customHeight="true" outlineLevel="0" collapsed="false">
      <c r="A25" s="3" t="s">
        <v>164</v>
      </c>
      <c r="B25" s="3" t="s">
        <v>165</v>
      </c>
      <c r="C25" s="3" t="s">
        <v>166</v>
      </c>
      <c r="D25" s="3" t="s">
        <v>167</v>
      </c>
    </row>
    <row r="26" customFormat="false" ht="15" hidden="false" customHeight="false" outlineLevel="0" collapsed="false">
      <c r="A26" s="4" t="n">
        <v>0</v>
      </c>
      <c r="B26" s="19" t="n">
        <f aca="false">B5+B6</f>
        <v>384794.97</v>
      </c>
      <c r="C26" s="19" t="n">
        <f aca="false">B5+B6</f>
        <v>384794.97</v>
      </c>
      <c r="D26" s="19" t="n">
        <f aca="false">C26-B26</f>
        <v>0</v>
      </c>
    </row>
    <row r="27" customFormat="false" ht="15" hidden="false" customHeight="false" outlineLevel="0" collapsed="false">
      <c r="A27" s="4" t="n">
        <v>1</v>
      </c>
      <c r="B27" s="19" t="n">
        <f aca="false">B26*(1+0.06-$C$11)</f>
        <v>401232.305602</v>
      </c>
      <c r="C27" s="19" t="n">
        <f aca="false">C26*(1+0.06-$C$18)</f>
        <v>407670.074816</v>
      </c>
      <c r="D27" s="19" t="n">
        <f aca="false">C27-B27</f>
        <v>6437.76921399997</v>
      </c>
    </row>
    <row r="28" customFormat="false" ht="15" hidden="false" customHeight="false" outlineLevel="0" collapsed="false">
      <c r="A28" s="4" t="n">
        <v>2</v>
      </c>
      <c r="B28" s="19" t="n">
        <f aca="false">B27*(1+0.06-$C$11)</f>
        <v>418371.796956433</v>
      </c>
      <c r="C28" s="19" t="n">
        <f aca="false">C27*(1+0.06-$C$18)</f>
        <v>431905.04777254</v>
      </c>
      <c r="D28" s="19" t="n">
        <f aca="false">C28-B28</f>
        <v>13533.2508161069</v>
      </c>
    </row>
    <row r="29" customFormat="false" ht="15" hidden="false" customHeight="false" outlineLevel="0" collapsed="false">
      <c r="A29" s="4" t="n">
        <v>3</v>
      </c>
      <c r="B29" s="19" t="n">
        <f aca="false">B28*(1+0.06-$C$11)</f>
        <v>436243.438139749</v>
      </c>
      <c r="C29" s="19" t="n">
        <f aca="false">C28*(1+0.06-$C$18)</f>
        <v>457580.729651532</v>
      </c>
      <c r="D29" s="19" t="n">
        <f aca="false">C29-B29</f>
        <v>21337.2915117834</v>
      </c>
    </row>
    <row r="30" customFormat="false" ht="15" hidden="false" customHeight="false" outlineLevel="0" collapsed="false">
      <c r="A30" s="4" t="n">
        <v>4</v>
      </c>
      <c r="B30" s="19" t="n">
        <f aca="false">B29*(1+0.06-$C$11)</f>
        <v>454878.50448917</v>
      </c>
      <c r="C30" s="19" t="n">
        <f aca="false">C29*(1+0.06-$C$18)</f>
        <v>484782.767018498</v>
      </c>
      <c r="D30" s="19" t="n">
        <f aca="false">C30-B30</f>
        <v>29904.2625293287</v>
      </c>
    </row>
    <row r="31" customFormat="false" ht="15" hidden="false" customHeight="false" outlineLevel="0" collapsed="false">
      <c r="A31" s="4" t="n">
        <v>5</v>
      </c>
      <c r="B31" s="19" t="n">
        <f aca="false">B30*(1+0.06-$C$11)</f>
        <v>474309.60733447</v>
      </c>
      <c r="C31" s="19" t="n">
        <f aca="false">C30*(1+0.06-$C$18)</f>
        <v>513601.897914463</v>
      </c>
      <c r="D31" s="19" t="n">
        <f aca="false">C31-B31</f>
        <v>39292.2905799924</v>
      </c>
    </row>
    <row r="32" customFormat="false" ht="15" hidden="false" customHeight="false" outlineLevel="0" collapsed="false">
      <c r="A32" s="4" t="n">
        <v>6</v>
      </c>
      <c r="B32" s="19" t="n">
        <f aca="false">B31*(1+0.06-$C$11)</f>
        <v>494570.751067741</v>
      </c>
      <c r="C32" s="19" t="n">
        <f aca="false">C31*(1+0.06-$C$18)</f>
        <v>544134.25453152</v>
      </c>
      <c r="D32" s="19" t="n">
        <f aca="false">C32-B32</f>
        <v>49563.5034637792</v>
      </c>
    </row>
    <row r="33" customFormat="false" ht="15" hidden="false" customHeight="false" outlineLevel="0" collapsed="false">
      <c r="A33" s="4" t="n">
        <v>7</v>
      </c>
      <c r="B33" s="19" t="n">
        <f aca="false">B32*(1+0.06-$C$11)</f>
        <v>515697.392651007</v>
      </c>
      <c r="C33" s="19" t="n">
        <f aca="false">C32*(1+0.06-$C$18)</f>
        <v>576481.683881713</v>
      </c>
      <c r="D33" s="19" t="n">
        <f aca="false">C33-B33</f>
        <v>60784.2912307059</v>
      </c>
    </row>
    <row r="34" customFormat="false" ht="15" hidden="false" customHeight="false" outlineLevel="0" collapsed="false">
      <c r="A34" s="4" t="n">
        <v>8</v>
      </c>
      <c r="B34" s="19" t="n">
        <f aca="false">B33*(1+0.06-$C$11)</f>
        <v>537726.503665844</v>
      </c>
      <c r="C34" s="19" t="n">
        <f aca="false">C33*(1+0.06-$C$18)</f>
        <v>610752.087528877</v>
      </c>
      <c r="D34" s="19" t="n">
        <f aca="false">C34-B34</f>
        <v>73025.5838630328</v>
      </c>
    </row>
    <row r="35" customFormat="false" ht="15" hidden="false" customHeight="false" outlineLevel="0" collapsed="false">
      <c r="A35" s="4" t="n">
        <v>9</v>
      </c>
      <c r="B35" s="19" t="n">
        <f aca="false">B34*(1+0.06-$C$11)</f>
        <v>560696.635013574</v>
      </c>
      <c r="C35" s="19" t="n">
        <f aca="false">C34*(1+0.06-$C$18)</f>
        <v>647059.781516701</v>
      </c>
      <c r="D35" s="19" t="n">
        <f aca="false">C35-B35</f>
        <v>86363.1465031273</v>
      </c>
    </row>
    <row r="36" customFormat="false" ht="15" hidden="false" customHeight="false" outlineLevel="0" collapsed="false">
      <c r="A36" s="4" t="n">
        <v>10</v>
      </c>
      <c r="B36" s="19" t="n">
        <f aca="false">B35*(1+0.06-$C$11)</f>
        <v>584647.984379264</v>
      </c>
      <c r="C36" s="19" t="n">
        <f aca="false">C35*(1+0.06-$C$18)</f>
        <v>685525.877693615</v>
      </c>
      <c r="D36" s="19" t="n">
        <f aca="false">C36-B36</f>
        <v>100877.893314351</v>
      </c>
    </row>
    <row r="37" customFormat="false" ht="15" hidden="false" customHeight="false" outlineLevel="0" collapsed="false">
      <c r="A37" s="2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5" min="4" style="0" width="32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60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169</v>
      </c>
    </row>
    <row r="3" customFormat="false" ht="30" hidden="false" customHeight="true" outlineLevel="0" collapsed="false">
      <c r="A3" s="3" t="s">
        <v>170</v>
      </c>
      <c r="B3" s="3" t="s">
        <v>2</v>
      </c>
      <c r="C3" s="3" t="s">
        <v>7</v>
      </c>
      <c r="D3" s="3" t="s">
        <v>171</v>
      </c>
      <c r="E3" s="3" t="s">
        <v>172</v>
      </c>
      <c r="F3" s="3" t="s">
        <v>173</v>
      </c>
      <c r="G3" s="3" t="s">
        <v>174</v>
      </c>
      <c r="H3" s="3" t="s">
        <v>175</v>
      </c>
      <c r="I3" s="3" t="s">
        <v>176</v>
      </c>
    </row>
    <row r="4" customFormat="false" ht="109.5" hidden="false" customHeight="true" outlineLevel="0" collapsed="false">
      <c r="A4" s="4" t="n">
        <v>1</v>
      </c>
      <c r="B4" s="20" t="s">
        <v>177</v>
      </c>
      <c r="C4" s="21" t="n">
        <f aca="false">384794.97</f>
        <v>384794.97</v>
      </c>
      <c r="D4" s="20" t="s">
        <v>178</v>
      </c>
      <c r="E4" s="20" t="s">
        <v>179</v>
      </c>
      <c r="F4" s="20" t="s">
        <v>180</v>
      </c>
      <c r="G4" s="20" t="s">
        <v>181</v>
      </c>
      <c r="H4" s="20" t="s">
        <v>182</v>
      </c>
      <c r="I4" s="20" t="s">
        <v>183</v>
      </c>
    </row>
    <row r="5" customFormat="false" ht="109.5" hidden="false" customHeight="true" outlineLevel="0" collapsed="false">
      <c r="A5" s="4" t="n">
        <v>2</v>
      </c>
      <c r="B5" s="20" t="s">
        <v>40</v>
      </c>
      <c r="C5" s="21" t="n">
        <f aca="false">737594.39</f>
        <v>737594.39</v>
      </c>
      <c r="D5" s="20" t="s">
        <v>184</v>
      </c>
      <c r="E5" s="20" t="s">
        <v>185</v>
      </c>
      <c r="F5" s="20" t="s">
        <v>186</v>
      </c>
      <c r="G5" s="20" t="s">
        <v>187</v>
      </c>
      <c r="H5" s="20" t="s">
        <v>188</v>
      </c>
      <c r="I5" s="20" t="s">
        <v>183</v>
      </c>
    </row>
    <row r="6" customFormat="false" ht="109.5" hidden="false" customHeight="true" outlineLevel="0" collapsed="false">
      <c r="A6" s="4" t="n">
        <v>3</v>
      </c>
      <c r="B6" s="20" t="s">
        <v>189</v>
      </c>
      <c r="C6" s="21" t="n">
        <f aca="false">55844.92</f>
        <v>55844.92</v>
      </c>
      <c r="D6" s="20" t="s">
        <v>190</v>
      </c>
      <c r="E6" s="20" t="s">
        <v>191</v>
      </c>
      <c r="F6" s="20" t="s">
        <v>192</v>
      </c>
      <c r="G6" s="20" t="s">
        <v>193</v>
      </c>
      <c r="H6" s="20" t="s">
        <v>194</v>
      </c>
      <c r="I6" s="20" t="s">
        <v>183</v>
      </c>
    </row>
    <row r="7" customFormat="false" ht="109.5" hidden="false" customHeight="true" outlineLevel="0" collapsed="false">
      <c r="A7" s="4" t="n">
        <v>4</v>
      </c>
      <c r="B7" s="20" t="s">
        <v>30</v>
      </c>
      <c r="C7" s="21" t="n">
        <f aca="false">15090.19</f>
        <v>15090.19</v>
      </c>
      <c r="D7" s="20" t="s">
        <v>195</v>
      </c>
      <c r="E7" s="20" t="s">
        <v>196</v>
      </c>
      <c r="F7" s="20" t="s">
        <v>197</v>
      </c>
      <c r="G7" s="20" t="s">
        <v>197</v>
      </c>
      <c r="H7" s="20" t="s">
        <v>198</v>
      </c>
      <c r="I7" s="20" t="s">
        <v>199</v>
      </c>
    </row>
    <row r="8" customFormat="false" ht="109.5" hidden="false" customHeight="true" outlineLevel="0" collapsed="false">
      <c r="A8" s="4" t="n">
        <v>5</v>
      </c>
      <c r="B8" s="20" t="s">
        <v>200</v>
      </c>
      <c r="C8" s="21" t="n">
        <f aca="false">11840.07</f>
        <v>11840.07</v>
      </c>
      <c r="D8" s="20" t="s">
        <v>195</v>
      </c>
      <c r="E8" s="20" t="s">
        <v>201</v>
      </c>
      <c r="F8" s="20" t="s">
        <v>202</v>
      </c>
      <c r="G8" s="20" t="s">
        <v>197</v>
      </c>
      <c r="H8" s="20" t="s">
        <v>203</v>
      </c>
      <c r="I8" s="20" t="s">
        <v>199</v>
      </c>
    </row>
    <row r="9" customFormat="false" ht="109.5" hidden="false" customHeight="true" outlineLevel="0" collapsed="false">
      <c r="A9" s="4" t="n">
        <v>6</v>
      </c>
      <c r="B9" s="20" t="s">
        <v>46</v>
      </c>
      <c r="C9" s="21" t="n">
        <f aca="false">57240.39</f>
        <v>57240.39</v>
      </c>
      <c r="D9" s="20" t="s">
        <v>204</v>
      </c>
      <c r="E9" s="20" t="s">
        <v>205</v>
      </c>
      <c r="F9" s="20" t="s">
        <v>197</v>
      </c>
      <c r="G9" s="20" t="s">
        <v>197</v>
      </c>
      <c r="H9" s="20" t="s">
        <v>206</v>
      </c>
      <c r="I9" s="20" t="s">
        <v>199</v>
      </c>
    </row>
    <row r="10" customFormat="false" ht="109.5" hidden="false" customHeight="true" outlineLevel="0" collapsed="false">
      <c r="A10" s="4" t="n">
        <v>7</v>
      </c>
      <c r="B10" s="20" t="s">
        <v>207</v>
      </c>
      <c r="C10" s="20" t="s">
        <v>208</v>
      </c>
      <c r="D10" s="20" t="s">
        <v>209</v>
      </c>
      <c r="E10" s="20" t="s">
        <v>210</v>
      </c>
      <c r="F10" s="20" t="s">
        <v>197</v>
      </c>
      <c r="G10" s="20" t="s">
        <v>197</v>
      </c>
      <c r="H10" s="20" t="s">
        <v>211</v>
      </c>
      <c r="I10" s="20" t="s">
        <v>212</v>
      </c>
    </row>
    <row r="11" customFormat="false" ht="109.5" hidden="false" customHeight="true" outlineLevel="0" collapsed="false">
      <c r="A11" s="4" t="n">
        <v>8</v>
      </c>
      <c r="B11" s="20" t="s">
        <v>213</v>
      </c>
      <c r="C11" s="21" t="n">
        <f aca="false">-467835.72</f>
        <v>-467835.72</v>
      </c>
      <c r="D11" s="20" t="s">
        <v>214</v>
      </c>
      <c r="E11" s="20" t="s">
        <v>197</v>
      </c>
      <c r="F11" s="20" t="s">
        <v>215</v>
      </c>
      <c r="G11" s="20" t="s">
        <v>197</v>
      </c>
      <c r="H11" s="20" t="s">
        <v>216</v>
      </c>
      <c r="I11" s="20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5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15" hidden="false" customHeight="false" outlineLevel="0" collapsed="false">
      <c r="A4" s="12" t="s">
        <v>219</v>
      </c>
    </row>
    <row r="5" customFormat="false" ht="30" hidden="false" customHeight="true" outlineLevel="0" collapsed="false">
      <c r="A5" s="3" t="s">
        <v>220</v>
      </c>
      <c r="B5" s="3" t="s">
        <v>7</v>
      </c>
      <c r="C5" s="3" t="s">
        <v>221</v>
      </c>
    </row>
    <row r="6" customFormat="false" ht="15" hidden="false" customHeight="false" outlineLevel="0" collapsed="false">
      <c r="A6" s="4" t="s">
        <v>222</v>
      </c>
      <c r="B6" s="5" t="n">
        <v>334870.81</v>
      </c>
      <c r="C6" s="7" t="n">
        <f aca="false">B6/$B$11</f>
        <v>0.454004008897085</v>
      </c>
    </row>
    <row r="7" customFormat="false" ht="15" hidden="false" customHeight="false" outlineLevel="0" collapsed="false">
      <c r="A7" s="4" t="s">
        <v>223</v>
      </c>
      <c r="B7" s="5" t="n">
        <v>174941.8</v>
      </c>
      <c r="C7" s="7" t="n">
        <f aca="false">B7/$B$11</f>
        <v>0.237178864660291</v>
      </c>
    </row>
    <row r="8" customFormat="false" ht="15" hidden="false" customHeight="false" outlineLevel="0" collapsed="false">
      <c r="A8" s="4" t="s">
        <v>224</v>
      </c>
      <c r="B8" s="5" t="n">
        <v>137494.61</v>
      </c>
      <c r="C8" s="7" t="n">
        <f aca="false">B8/$B$11</f>
        <v>0.186409511601627</v>
      </c>
    </row>
    <row r="9" customFormat="false" ht="15" hidden="false" customHeight="false" outlineLevel="0" collapsed="false">
      <c r="A9" s="4" t="s">
        <v>225</v>
      </c>
      <c r="B9" s="5" t="n">
        <v>68818.96</v>
      </c>
      <c r="C9" s="7" t="n">
        <f aca="false">B9/$B$11</f>
        <v>0.0933019026893629</v>
      </c>
    </row>
    <row r="10" customFormat="false" ht="15" hidden="false" customHeight="false" outlineLevel="0" collapsed="false">
      <c r="A10" s="4" t="s">
        <v>226</v>
      </c>
      <c r="B10" s="5" t="n">
        <v>21468.21</v>
      </c>
      <c r="C10" s="7" t="n">
        <f aca="false">B10/$B$11</f>
        <v>0.0291057121516339</v>
      </c>
    </row>
    <row r="11" customFormat="false" ht="15" hidden="false" customHeight="false" outlineLevel="0" collapsed="false">
      <c r="A11" s="12" t="s">
        <v>227</v>
      </c>
      <c r="B11" s="15" t="n">
        <f aca="false">SUM(B6:B10)</f>
        <v>737594.39</v>
      </c>
    </row>
    <row r="13" customFormat="false" ht="15" hidden="false" customHeight="false" outlineLevel="0" collapsed="false">
      <c r="A13" s="12" t="s">
        <v>228</v>
      </c>
    </row>
    <row r="14" customFormat="false" ht="30" hidden="false" customHeight="true" outlineLevel="0" collapsed="false">
      <c r="A14" s="3" t="s">
        <v>229</v>
      </c>
      <c r="B14" s="3" t="s">
        <v>7</v>
      </c>
      <c r="C14" s="3" t="s">
        <v>230</v>
      </c>
    </row>
    <row r="15" customFormat="false" ht="15" hidden="false" customHeight="false" outlineLevel="0" collapsed="false">
      <c r="A15" s="4" t="s">
        <v>231</v>
      </c>
      <c r="B15" s="5" t="n">
        <v>276082.87</v>
      </c>
      <c r="C15" s="7" t="n">
        <f aca="false">B15/$B$17</f>
        <v>0.374301748688734</v>
      </c>
    </row>
    <row r="16" customFormat="false" ht="15" hidden="false" customHeight="false" outlineLevel="0" collapsed="false">
      <c r="A16" s="4" t="s">
        <v>232</v>
      </c>
      <c r="B16" s="5" t="n">
        <v>461511.52</v>
      </c>
      <c r="C16" s="7" t="n">
        <f aca="false">B16/$B$17</f>
        <v>0.625698251311266</v>
      </c>
    </row>
    <row r="17" customFormat="false" ht="15" hidden="false" customHeight="false" outlineLevel="0" collapsed="false">
      <c r="A17" s="12" t="s">
        <v>227</v>
      </c>
      <c r="B17" s="15" t="n">
        <f aca="false">SUM(B15:B16)</f>
        <v>737594.39</v>
      </c>
    </row>
    <row r="19" customFormat="false" ht="15" hidden="false" customHeight="false" outlineLevel="0" collapsed="false">
      <c r="A19" s="12" t="s">
        <v>233</v>
      </c>
    </row>
    <row r="20" customFormat="false" ht="30" hidden="false" customHeight="true" outlineLevel="0" collapsed="false">
      <c r="A20" s="3" t="s">
        <v>5</v>
      </c>
      <c r="B20" s="3" t="s">
        <v>7</v>
      </c>
      <c r="C20" s="3" t="s">
        <v>230</v>
      </c>
    </row>
    <row r="21" customFormat="false" ht="15" hidden="false" customHeight="false" outlineLevel="0" collapsed="false">
      <c r="A21" s="4" t="s">
        <v>234</v>
      </c>
      <c r="B21" s="5" t="n">
        <v>371008.77</v>
      </c>
      <c r="C21" s="7" t="n">
        <f aca="false">B21/$B$26</f>
        <v>0.50299836201303</v>
      </c>
    </row>
    <row r="22" customFormat="false" ht="15" hidden="false" customHeight="false" outlineLevel="0" collapsed="false">
      <c r="A22" s="4" t="s">
        <v>235</v>
      </c>
      <c r="B22" s="5" t="n">
        <v>226496.86</v>
      </c>
      <c r="C22" s="7" t="n">
        <f aca="false">B22/$B$26</f>
        <v>0.307075084993529</v>
      </c>
    </row>
    <row r="23" customFormat="false" ht="15" hidden="false" customHeight="false" outlineLevel="0" collapsed="false">
      <c r="A23" s="4" t="s">
        <v>236</v>
      </c>
      <c r="B23" s="5" t="n">
        <v>54611.91</v>
      </c>
      <c r="C23" s="7" t="n">
        <f aca="false">B23/$B$26</f>
        <v>0.0740405712684447</v>
      </c>
    </row>
    <row r="24" customFormat="false" ht="15" hidden="false" customHeight="false" outlineLevel="0" collapsed="false">
      <c r="A24" s="4" t="s">
        <v>237</v>
      </c>
      <c r="B24" s="5" t="n">
        <v>51504.15</v>
      </c>
      <c r="C24" s="7" t="n">
        <f aca="false">B24/$B$26</f>
        <v>0.0698271986586015</v>
      </c>
    </row>
    <row r="25" customFormat="false" ht="15" hidden="false" customHeight="false" outlineLevel="0" collapsed="false">
      <c r="A25" s="4" t="s">
        <v>238</v>
      </c>
      <c r="B25" s="5" t="n">
        <v>33972.7</v>
      </c>
      <c r="C25" s="7" t="n">
        <f aca="false">B25/$B$26</f>
        <v>0.0460587830663951</v>
      </c>
    </row>
    <row r="26" customFormat="false" ht="15" hidden="false" customHeight="false" outlineLevel="0" collapsed="false">
      <c r="A26" s="12" t="s">
        <v>227</v>
      </c>
      <c r="B26" s="15" t="n">
        <f aca="false">SUM(B21:B25)</f>
        <v>737594.39</v>
      </c>
    </row>
    <row r="28" customFormat="false" ht="15" hidden="false" customHeight="false" outlineLevel="0" collapsed="false">
      <c r="A28" s="12" t="s">
        <v>239</v>
      </c>
    </row>
    <row r="29" customFormat="false" ht="30" hidden="false" customHeight="true" outlineLevel="0" collapsed="false">
      <c r="A29" s="3" t="s">
        <v>240</v>
      </c>
      <c r="B29" s="3" t="s">
        <v>7</v>
      </c>
      <c r="C29" s="3" t="s">
        <v>241</v>
      </c>
      <c r="D29" s="3" t="s">
        <v>138</v>
      </c>
    </row>
    <row r="30" customFormat="false" ht="15" hidden="false" customHeight="false" outlineLevel="0" collapsed="false">
      <c r="A30" s="4" t="s">
        <v>242</v>
      </c>
      <c r="B30" s="5" t="n">
        <v>134832.51</v>
      </c>
      <c r="C30" s="6" t="n">
        <f aca="false">SUM($B$30:B30)</f>
        <v>134832.51</v>
      </c>
      <c r="D30" s="2" t="s">
        <v>243</v>
      </c>
    </row>
    <row r="31" customFormat="false" ht="15" hidden="false" customHeight="false" outlineLevel="0" collapsed="false">
      <c r="A31" s="4" t="s">
        <v>244</v>
      </c>
      <c r="B31" s="5" t="n">
        <v>264801.15</v>
      </c>
      <c r="C31" s="6" t="n">
        <f aca="false">SUM($B$30:B31)</f>
        <v>399633.66</v>
      </c>
      <c r="D31" s="2" t="s">
        <v>243</v>
      </c>
    </row>
    <row r="32" customFormat="false" ht="15" hidden="false" customHeight="false" outlineLevel="0" collapsed="false">
      <c r="A32" s="4" t="s">
        <v>245</v>
      </c>
      <c r="B32" s="5" t="n">
        <v>82762.56</v>
      </c>
      <c r="C32" s="6" t="n">
        <f aca="false">SUM($B$30:B32)</f>
        <v>482396.22</v>
      </c>
      <c r="D32" s="2" t="s">
        <v>246</v>
      </c>
    </row>
    <row r="33" customFormat="false" ht="15" hidden="false" customHeight="false" outlineLevel="0" collapsed="false">
      <c r="A33" s="4" t="s">
        <v>247</v>
      </c>
      <c r="B33" s="5" t="n">
        <v>214316.83</v>
      </c>
      <c r="C33" s="6" t="n">
        <f aca="false">SUM($B$30:B33)</f>
        <v>696713.05</v>
      </c>
      <c r="D33" s="2" t="s">
        <v>246</v>
      </c>
    </row>
    <row r="34" customFormat="false" ht="15" hidden="false" customHeight="false" outlineLevel="0" collapsed="false">
      <c r="A34" s="4" t="s">
        <v>248</v>
      </c>
      <c r="B34" s="5" t="n">
        <v>21042.91</v>
      </c>
      <c r="C34" s="6" t="n">
        <f aca="false">SUM($B$30:B34)</f>
        <v>717755.96</v>
      </c>
      <c r="D34" s="2" t="s">
        <v>246</v>
      </c>
    </row>
    <row r="35" customFormat="false" ht="15" hidden="false" customHeight="false" outlineLevel="0" collapsed="false">
      <c r="A35" s="4" t="s">
        <v>249</v>
      </c>
      <c r="B35" s="5" t="n">
        <v>19838.43</v>
      </c>
      <c r="C35" s="6" t="n">
        <f aca="false">SUM($B$30:B35)</f>
        <v>737594.39</v>
      </c>
      <c r="D35" s="2" t="s">
        <v>246</v>
      </c>
    </row>
    <row r="36" customFormat="false" ht="15" hidden="false" customHeight="false" outlineLevel="0" collapsed="false">
      <c r="A36" s="12" t="s">
        <v>227</v>
      </c>
      <c r="B36" s="15" t="n">
        <f aca="false">SUM(B30:B35)</f>
        <v>737594.39</v>
      </c>
    </row>
    <row r="38" customFormat="false" ht="15" hidden="false" customHeight="false" outlineLevel="0" collapsed="false">
      <c r="A38" s="12" t="s">
        <v>250</v>
      </c>
    </row>
    <row r="39" customFormat="false" ht="15" hidden="false" customHeight="false" outlineLevel="0" collapsed="false">
      <c r="A39" s="4" t="s">
        <v>251</v>
      </c>
      <c r="B39" s="14" t="n">
        <v>0.03</v>
      </c>
      <c r="C39" s="6" t="n">
        <f aca="false">B39*737594.39</f>
        <v>22127.8317</v>
      </c>
    </row>
    <row r="40" customFormat="false" ht="15" hidden="false" customHeight="false" outlineLevel="0" collapsed="false">
      <c r="A40" s="4" t="s">
        <v>252</v>
      </c>
      <c r="B40" s="14" t="n">
        <v>0</v>
      </c>
    </row>
    <row r="42" customFormat="false" ht="15" hidden="false" customHeight="false" outlineLevel="0" collapsed="false">
      <c r="A42" s="12" t="s">
        <v>253</v>
      </c>
    </row>
    <row r="43" customFormat="false" ht="30" hidden="false" customHeight="true" outlineLevel="0" collapsed="false">
      <c r="A43" s="3" t="s">
        <v>254</v>
      </c>
      <c r="B43" s="3" t="s">
        <v>164</v>
      </c>
      <c r="C43" s="3" t="s">
        <v>255</v>
      </c>
      <c r="D43" s="3" t="s">
        <v>256</v>
      </c>
      <c r="E43" s="3" t="s">
        <v>257</v>
      </c>
      <c r="F43" s="3" t="s">
        <v>258</v>
      </c>
      <c r="G43" s="3" t="s">
        <v>259</v>
      </c>
    </row>
    <row r="44" customFormat="false" ht="15" hidden="false" customHeight="false" outlineLevel="0" collapsed="false">
      <c r="A44" s="4" t="s">
        <v>260</v>
      </c>
      <c r="B44" s="4" t="s">
        <v>261</v>
      </c>
      <c r="C44" s="14" t="n">
        <v>0.155</v>
      </c>
      <c r="D44" s="14" t="n">
        <v>0.2975</v>
      </c>
      <c r="E44" s="14" t="n">
        <v>0.155</v>
      </c>
      <c r="F44" s="7" t="n">
        <f aca="false">MAX(D44-C44,0)</f>
        <v>0.1425</v>
      </c>
      <c r="G44" s="7" t="n">
        <f aca="false">IF(D44&lt;0,E44-D44,0)</f>
        <v>0</v>
      </c>
    </row>
    <row r="45" customFormat="false" ht="15" hidden="false" customHeight="false" outlineLevel="0" collapsed="false">
      <c r="A45" s="4" t="s">
        <v>260</v>
      </c>
      <c r="B45" s="4" t="s">
        <v>262</v>
      </c>
      <c r="C45" s="14" t="n">
        <v>0.155</v>
      </c>
      <c r="D45" s="14" t="n">
        <v>0.1748</v>
      </c>
      <c r="E45" s="14" t="n">
        <v>0.155</v>
      </c>
      <c r="F45" s="7" t="n">
        <f aca="false">MAX(D45-C45,0)</f>
        <v>0.0198</v>
      </c>
      <c r="G45" s="7" t="n">
        <f aca="false">IF(D45&lt;0,E45-D45,0)</f>
        <v>0</v>
      </c>
    </row>
    <row r="46" customFormat="false" ht="15" hidden="false" customHeight="false" outlineLevel="0" collapsed="false">
      <c r="A46" s="4" t="s">
        <v>263</v>
      </c>
      <c r="B46" s="4" t="s">
        <v>262</v>
      </c>
      <c r="C46" s="14" t="n">
        <v>0.07</v>
      </c>
      <c r="D46" s="14" t="n">
        <v>0.142</v>
      </c>
      <c r="E46" s="14" t="n">
        <v>0.07</v>
      </c>
      <c r="F46" s="7" t="n">
        <f aca="false">MAX(D46-C46,0)</f>
        <v>0.072</v>
      </c>
      <c r="G46" s="7" t="n">
        <f aca="false">IF(D46&lt;0,E46-D46,0)</f>
        <v>0</v>
      </c>
    </row>
    <row r="47" customFormat="false" ht="15" hidden="false" customHeight="false" outlineLevel="0" collapsed="false">
      <c r="A47" s="4" t="s">
        <v>264</v>
      </c>
      <c r="B47" s="4" t="s">
        <v>265</v>
      </c>
      <c r="C47" s="14" t="n">
        <v>0.1</v>
      </c>
      <c r="D47" s="14" t="n">
        <v>-0.1301</v>
      </c>
      <c r="E47" s="14" t="n">
        <v>-0.0301</v>
      </c>
      <c r="F47" s="7" t="n">
        <f aca="false">MAX(D47-C47,0)</f>
        <v>0</v>
      </c>
      <c r="G47" s="7" t="n">
        <f aca="false">IF(D47&lt;0,E47-D47,0)</f>
        <v>0.1</v>
      </c>
    </row>
    <row r="48" customFormat="false" ht="15" hidden="false" customHeight="false" outlineLevel="0" collapsed="false">
      <c r="A48" s="4" t="s">
        <v>264</v>
      </c>
      <c r="B48" s="4" t="s">
        <v>266</v>
      </c>
      <c r="C48" s="14" t="n">
        <v>0.1</v>
      </c>
      <c r="D48" s="14" t="n">
        <v>-0.108</v>
      </c>
      <c r="E48" s="14" t="n">
        <v>-0.008</v>
      </c>
      <c r="F48" s="7" t="n">
        <f aca="false">MAX(D48-C48,0)</f>
        <v>0</v>
      </c>
      <c r="G48" s="7" t="n">
        <f aca="false">IF(D48&lt;0,E48-D48,0)</f>
        <v>0.1</v>
      </c>
    </row>
    <row r="49" customFormat="false" ht="15" hidden="false" customHeight="false" outlineLevel="0" collapsed="false">
      <c r="A49" s="4" t="s">
        <v>264</v>
      </c>
      <c r="B49" s="4" t="s">
        <v>261</v>
      </c>
      <c r="C49" s="14" t="n">
        <v>0.1</v>
      </c>
      <c r="D49" s="14" t="n">
        <v>0.1385</v>
      </c>
      <c r="E49" s="14" t="n">
        <v>0.1</v>
      </c>
      <c r="F49" s="7" t="n">
        <f aca="false">MAX(D49-C49,0)</f>
        <v>0.0385</v>
      </c>
      <c r="G49" s="7" t="n">
        <f aca="false">IF(D49&lt;0,E49-D49,0)</f>
        <v>0</v>
      </c>
    </row>
    <row r="50" customFormat="false" ht="15" hidden="false" customHeight="false" outlineLevel="0" collapsed="false">
      <c r="A50" s="4" t="s">
        <v>264</v>
      </c>
      <c r="B50" s="4" t="s">
        <v>262</v>
      </c>
      <c r="C50" s="14" t="n">
        <v>0.1</v>
      </c>
      <c r="D50" s="14" t="n">
        <v>-0.0081</v>
      </c>
      <c r="E50" s="14" t="n">
        <v>0</v>
      </c>
      <c r="F50" s="7" t="n">
        <f aca="false">MAX(D50-C50,0)</f>
        <v>0</v>
      </c>
      <c r="G50" s="7" t="n">
        <f aca="false">IF(D50&lt;0,E50-D50,0)</f>
        <v>0.0081</v>
      </c>
    </row>
    <row r="51" customFormat="false" ht="15" hidden="false" customHeight="false" outlineLevel="0" collapsed="false">
      <c r="A51" s="4" t="s">
        <v>264</v>
      </c>
      <c r="B51" s="4" t="s">
        <v>267</v>
      </c>
      <c r="C51" s="14" t="n">
        <v>0.1</v>
      </c>
      <c r="D51" s="14" t="n">
        <v>0.4698</v>
      </c>
      <c r="E51" s="14" t="n">
        <v>0.1</v>
      </c>
      <c r="F51" s="7" t="n">
        <f aca="false">MAX(D51-C51,0)</f>
        <v>0.3698</v>
      </c>
      <c r="G51" s="7" t="n">
        <f aca="false">IF(D51&lt;0,E51-D51,0)</f>
        <v>0</v>
      </c>
    </row>
    <row r="52" customFormat="false" ht="15" hidden="false" customHeight="false" outlineLevel="0" collapsed="false">
      <c r="A52" s="4" t="s">
        <v>268</v>
      </c>
      <c r="B52" s="4" t="s">
        <v>265</v>
      </c>
      <c r="C52" s="14" t="n">
        <v>0.1</v>
      </c>
      <c r="D52" s="14" t="n">
        <v>-0.2484</v>
      </c>
      <c r="E52" s="14" t="n">
        <v>-0.1484</v>
      </c>
      <c r="F52" s="7" t="n">
        <f aca="false">MAX(D52-C52,0)</f>
        <v>0</v>
      </c>
      <c r="G52" s="7" t="n">
        <f aca="false">IF(D52&lt;0,E52-D52,0)</f>
        <v>0.1</v>
      </c>
    </row>
    <row r="53" customFormat="false" ht="15" hidden="false" customHeight="false" outlineLevel="0" collapsed="false">
      <c r="A53" s="4" t="s">
        <v>268</v>
      </c>
      <c r="B53" s="4" t="s">
        <v>266</v>
      </c>
      <c r="C53" s="14" t="n">
        <v>0.1</v>
      </c>
      <c r="D53" s="14" t="n">
        <v>0.0018</v>
      </c>
      <c r="E53" s="14" t="n">
        <v>0.0018</v>
      </c>
      <c r="F53" s="7" t="n">
        <f aca="false">MAX(D53-C53,0)</f>
        <v>0</v>
      </c>
      <c r="G53" s="7" t="n">
        <f aca="false">IF(D53&lt;0,E53-D53,0)</f>
        <v>0</v>
      </c>
    </row>
    <row r="54" customFormat="false" ht="15" hidden="false" customHeight="false" outlineLevel="0" collapsed="false">
      <c r="A54" s="4" t="s">
        <v>268</v>
      </c>
      <c r="B54" s="4" t="s">
        <v>261</v>
      </c>
      <c r="C54" s="14" t="n">
        <v>0.1</v>
      </c>
      <c r="D54" s="14" t="n">
        <v>0.3227</v>
      </c>
      <c r="E54" s="14" t="n">
        <v>0.1</v>
      </c>
      <c r="F54" s="7" t="n">
        <f aca="false">MAX(D54-C54,0)</f>
        <v>0.2227</v>
      </c>
      <c r="G54" s="7" t="n">
        <f aca="false">IF(D54&lt;0,E54-D54,0)</f>
        <v>0</v>
      </c>
    </row>
    <row r="55" customFormat="false" ht="15" hidden="false" customHeight="false" outlineLevel="0" collapsed="false">
      <c r="A55" s="4" t="s">
        <v>268</v>
      </c>
      <c r="B55" s="4" t="s">
        <v>262</v>
      </c>
      <c r="C55" s="14" t="n">
        <v>0.1</v>
      </c>
      <c r="D55" s="14" t="n">
        <v>0.1019</v>
      </c>
      <c r="E55" s="14" t="n">
        <v>0.1</v>
      </c>
      <c r="F55" s="7" t="n">
        <f aca="false">MAX(D55-C55,0)</f>
        <v>0.0019</v>
      </c>
      <c r="G55" s="7" t="n">
        <f aca="false">IF(D55&lt;0,E55-D55,0)</f>
        <v>0</v>
      </c>
    </row>
    <row r="56" customFormat="false" ht="15" hidden="false" customHeight="false" outlineLevel="0" collapsed="false">
      <c r="A56" s="4" t="s">
        <v>269</v>
      </c>
      <c r="B56" s="4" t="s">
        <v>261</v>
      </c>
      <c r="C56" s="14" t="n">
        <v>0.18</v>
      </c>
      <c r="D56" s="14" t="n">
        <v>0.036</v>
      </c>
      <c r="E56" s="14" t="n">
        <v>0.036</v>
      </c>
      <c r="F56" s="7" t="n">
        <f aca="false">MAX(D56-C56,0)</f>
        <v>0</v>
      </c>
      <c r="G56" s="7" t="n">
        <f aca="false">IF(D56&lt;0,E56-D56,0)</f>
        <v>0</v>
      </c>
    </row>
    <row r="57" customFormat="false" ht="15" hidden="false" customHeight="false" outlineLevel="0" collapsed="false">
      <c r="A57" s="4" t="s">
        <v>269</v>
      </c>
      <c r="B57" s="4" t="s">
        <v>262</v>
      </c>
      <c r="C57" s="14" t="n">
        <v>0.18</v>
      </c>
      <c r="D57" s="14" t="n">
        <v>0.1344</v>
      </c>
      <c r="E57" s="14" t="n">
        <v>0.1344</v>
      </c>
      <c r="F57" s="7" t="n">
        <f aca="false">MAX(D57-C57,0)</f>
        <v>0</v>
      </c>
      <c r="G57" s="7" t="n">
        <f aca="false">IF(D57&lt;0,E57-D57,0)</f>
        <v>0</v>
      </c>
    </row>
    <row r="58" customFormat="false" ht="15" hidden="false" customHeight="false" outlineLevel="0" collapsed="false">
      <c r="A58" s="4" t="s">
        <v>269</v>
      </c>
      <c r="B58" s="4" t="s">
        <v>267</v>
      </c>
      <c r="C58" s="14" t="n">
        <v>0.18</v>
      </c>
      <c r="D58" s="14" t="n">
        <v>0.1648</v>
      </c>
      <c r="E58" s="14" t="n">
        <v>0.1648</v>
      </c>
      <c r="F58" s="7" t="n">
        <f aca="false">MAX(D58-C58,0)</f>
        <v>0</v>
      </c>
      <c r="G58" s="7" t="n">
        <f aca="false">IF(D58&lt;0,E58-D58,0)</f>
        <v>0</v>
      </c>
    </row>
    <row r="59" customFormat="false" ht="15" hidden="false" customHeight="false" outlineLevel="0" collapsed="false">
      <c r="A59" s="4" t="s">
        <v>270</v>
      </c>
      <c r="B59" s="4" t="s">
        <v>265</v>
      </c>
      <c r="C59" s="14" t="n">
        <v>0.1</v>
      </c>
      <c r="D59" s="14" t="n">
        <v>-0.1323</v>
      </c>
      <c r="E59" s="14" t="n">
        <v>-0.0323</v>
      </c>
      <c r="F59" s="7" t="n">
        <f aca="false">MAX(D59-C59,0)</f>
        <v>0</v>
      </c>
      <c r="G59" s="7" t="n">
        <f aca="false">IF(D59&lt;0,E59-D59,0)</f>
        <v>0.1</v>
      </c>
    </row>
    <row r="60" customFormat="false" ht="15" hidden="false" customHeight="false" outlineLevel="0" collapsed="false">
      <c r="A60" s="4" t="s">
        <v>270</v>
      </c>
      <c r="B60" s="4" t="s">
        <v>266</v>
      </c>
      <c r="C60" s="14" t="n">
        <v>0.1</v>
      </c>
      <c r="D60" s="14" t="n">
        <v>0.0812</v>
      </c>
      <c r="E60" s="14" t="n">
        <v>0.0812</v>
      </c>
      <c r="F60" s="7" t="n">
        <f aca="false">MAX(D60-C60,0)</f>
        <v>0</v>
      </c>
      <c r="G60" s="7" t="n">
        <f aca="false">IF(D60&lt;0,E60-D60,0)</f>
        <v>0</v>
      </c>
    </row>
    <row r="61" customFormat="false" ht="15" hidden="false" customHeight="false" outlineLevel="0" collapsed="false">
      <c r="A61" s="4" t="s">
        <v>270</v>
      </c>
      <c r="B61" s="4" t="s">
        <v>261</v>
      </c>
      <c r="C61" s="14" t="n">
        <v>0.1</v>
      </c>
      <c r="D61" s="14" t="n">
        <v>0.0982</v>
      </c>
      <c r="E61" s="14" t="n">
        <v>0.0982</v>
      </c>
      <c r="F61" s="7" t="n">
        <f aca="false">MAX(D61-C61,0)</f>
        <v>0</v>
      </c>
      <c r="G61" s="7" t="n">
        <f aca="false">IF(D61&lt;0,E61-D61,0)</f>
        <v>0</v>
      </c>
    </row>
    <row r="62" customFormat="false" ht="15" hidden="false" customHeight="false" outlineLevel="0" collapsed="false">
      <c r="A62" s="4" t="s">
        <v>270</v>
      </c>
      <c r="B62" s="4" t="s">
        <v>262</v>
      </c>
      <c r="C62" s="14" t="n">
        <v>0.1</v>
      </c>
      <c r="D62" s="14" t="n">
        <v>0.1989</v>
      </c>
      <c r="E62" s="14" t="n">
        <v>0.1</v>
      </c>
      <c r="F62" s="7" t="n">
        <f aca="false">MAX(D62-C62,0)</f>
        <v>0.0989</v>
      </c>
      <c r="G62" s="7" t="n">
        <f aca="false">IF(D62&lt;0,E62-D62,0)</f>
        <v>0</v>
      </c>
    </row>
    <row r="63" customFormat="false" ht="15" hidden="false" customHeight="false" outlineLevel="0" collapsed="false">
      <c r="A63" s="4" t="s">
        <v>270</v>
      </c>
      <c r="B63" s="4" t="s">
        <v>261</v>
      </c>
      <c r="C63" s="14" t="n">
        <v>0.19</v>
      </c>
      <c r="D63" s="14" t="n">
        <v>0.0601</v>
      </c>
      <c r="E63" s="14" t="n">
        <v>0.0601</v>
      </c>
      <c r="F63" s="7" t="n">
        <f aca="false">MAX(D63-C63,0)</f>
        <v>0</v>
      </c>
      <c r="G63" s="7" t="n">
        <f aca="false">IF(D63&lt;0,E63-D63,0)</f>
        <v>0</v>
      </c>
    </row>
    <row r="64" customFormat="false" ht="15" hidden="false" customHeight="false" outlineLevel="0" collapsed="false">
      <c r="A64" s="4" t="s">
        <v>270</v>
      </c>
      <c r="B64" s="4" t="s">
        <v>262</v>
      </c>
      <c r="C64" s="14" t="n">
        <v>0.19</v>
      </c>
      <c r="D64" s="14" t="n">
        <v>0.0875</v>
      </c>
      <c r="E64" s="14" t="n">
        <v>0.0875</v>
      </c>
      <c r="F64" s="7" t="n">
        <f aca="false">MAX(D64-C64,0)</f>
        <v>0</v>
      </c>
      <c r="G64" s="7" t="n">
        <f aca="false">IF(D64&lt;0,E64-D64,0)</f>
        <v>0</v>
      </c>
    </row>
    <row r="65" customFormat="false" ht="15" hidden="false" customHeight="false" outlineLevel="0" collapsed="false">
      <c r="A65" s="4" t="s">
        <v>270</v>
      </c>
      <c r="B65" s="4" t="s">
        <v>267</v>
      </c>
      <c r="C65" s="14" t="n">
        <v>0.19</v>
      </c>
      <c r="D65" s="14" t="n">
        <v>0.2776</v>
      </c>
      <c r="E65" s="14" t="n">
        <v>0.19</v>
      </c>
      <c r="F65" s="7" t="n">
        <f aca="false">MAX(D65-C65,0)</f>
        <v>0.0876</v>
      </c>
      <c r="G65" s="7" t="n">
        <f aca="false">IF(D65&lt;0,E65-D65,0)</f>
        <v>0</v>
      </c>
    </row>
    <row r="66" customFormat="false" ht="15" hidden="false" customHeight="false" outlineLevel="0" collapsed="false">
      <c r="A66" s="4" t="s">
        <v>270</v>
      </c>
      <c r="B66" s="4" t="s">
        <v>261</v>
      </c>
      <c r="C66" s="14" t="n">
        <v>0.19</v>
      </c>
      <c r="D66" s="14" t="n">
        <v>0.0589</v>
      </c>
      <c r="E66" s="14" t="n">
        <v>0.0589</v>
      </c>
      <c r="F66" s="7" t="n">
        <f aca="false">MAX(D66-C66,0)</f>
        <v>0</v>
      </c>
      <c r="G66" s="7" t="n">
        <f aca="false">IF(D66&lt;0,E66-D66,0)</f>
        <v>0</v>
      </c>
    </row>
    <row r="67" customFormat="false" ht="15" hidden="false" customHeight="false" outlineLevel="0" collapsed="false">
      <c r="A67" s="4" t="s">
        <v>270</v>
      </c>
      <c r="B67" s="4" t="s">
        <v>262</v>
      </c>
      <c r="C67" s="14" t="n">
        <v>0.19</v>
      </c>
      <c r="D67" s="14" t="n">
        <v>0.0992</v>
      </c>
      <c r="E67" s="14" t="n">
        <v>0.0992</v>
      </c>
      <c r="F67" s="7" t="n">
        <f aca="false">MAX(D67-C67,0)</f>
        <v>0</v>
      </c>
      <c r="G67" s="7" t="n">
        <f aca="false">IF(D67&lt;0,E67-D67,0)</f>
        <v>0</v>
      </c>
    </row>
    <row r="68" customFormat="false" ht="15" hidden="false" customHeight="false" outlineLevel="0" collapsed="false">
      <c r="A68" s="4" t="s">
        <v>270</v>
      </c>
      <c r="B68" s="4" t="s">
        <v>267</v>
      </c>
      <c r="C68" s="14" t="n">
        <v>0.19</v>
      </c>
      <c r="D68" s="14" t="n">
        <v>0.2367</v>
      </c>
      <c r="E68" s="14" t="n">
        <v>0.19</v>
      </c>
      <c r="F68" s="7" t="n">
        <f aca="false">MAX(D68-C68,0)</f>
        <v>0.0467</v>
      </c>
      <c r="G68" s="7" t="n">
        <f aca="false">IF(D68&lt;0,E68-D68,0)</f>
        <v>0</v>
      </c>
    </row>
    <row r="69" customFormat="false" ht="15" hidden="false" customHeight="false" outlineLevel="0" collapsed="false">
      <c r="A69" s="12" t="s">
        <v>271</v>
      </c>
      <c r="D69" s="16" t="n">
        <f aca="false">AVERAGE(D44:D68)</f>
        <v>0.102224</v>
      </c>
      <c r="E69" s="16" t="n">
        <f aca="false">AVERAGE(E44:E68)</f>
        <v>0.074532</v>
      </c>
      <c r="F69" s="16" t="n">
        <f aca="false">AVERAGE(F44:F68)</f>
        <v>0.044016</v>
      </c>
      <c r="G69" s="16" t="n">
        <f aca="false">AVERAGE(G44:G68)</f>
        <v>0.016324</v>
      </c>
    </row>
    <row r="70" customFormat="false" ht="15" hidden="false" customHeight="false" outlineLevel="0" collapsed="false">
      <c r="A70" s="12" t="s">
        <v>272</v>
      </c>
      <c r="D70" s="16" t="n">
        <f aca="false">D69-E69</f>
        <v>0.027692</v>
      </c>
    </row>
    <row r="71" customFormat="false" ht="15" hidden="false" customHeight="false" outlineLevel="0" collapsed="false">
      <c r="A71" s="2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274</v>
      </c>
    </row>
    <row r="3" customFormat="false" ht="15" hidden="false" customHeight="false" outlineLevel="0" collapsed="false">
      <c r="A3" s="12" t="s">
        <v>275</v>
      </c>
      <c r="B3" s="4" t="s">
        <v>276</v>
      </c>
    </row>
    <row r="4" customFormat="false" ht="15" hidden="false" customHeight="false" outlineLevel="0" collapsed="false">
      <c r="A4" s="12" t="s">
        <v>277</v>
      </c>
      <c r="B4" s="4" t="s">
        <v>278</v>
      </c>
    </row>
    <row r="5" customFormat="false" ht="15" hidden="false" customHeight="false" outlineLevel="0" collapsed="false">
      <c r="A5" s="12" t="s">
        <v>279</v>
      </c>
      <c r="B5" s="4" t="s">
        <v>280</v>
      </c>
    </row>
    <row r="6" customFormat="false" ht="15" hidden="false" customHeight="false" outlineLevel="0" collapsed="false">
      <c r="A6" s="12" t="s">
        <v>281</v>
      </c>
      <c r="B6" s="4" t="s">
        <v>282</v>
      </c>
    </row>
    <row r="7" customFormat="false" ht="15" hidden="false" customHeight="false" outlineLevel="0" collapsed="false">
      <c r="A7" s="12" t="s">
        <v>283</v>
      </c>
      <c r="B7" s="4" t="s">
        <v>284</v>
      </c>
    </row>
    <row r="8" customFormat="false" ht="15" hidden="false" customHeight="false" outlineLevel="0" collapsed="false">
      <c r="A8" s="12" t="s">
        <v>285</v>
      </c>
      <c r="B8" s="4" t="s">
        <v>286</v>
      </c>
    </row>
    <row r="9" customFormat="false" ht="15" hidden="false" customHeight="false" outlineLevel="0" collapsed="false">
      <c r="A9" s="12" t="s">
        <v>287</v>
      </c>
      <c r="B9" s="4" t="s">
        <v>288</v>
      </c>
    </row>
    <row r="10" customFormat="false" ht="15" hidden="false" customHeight="false" outlineLevel="0" collapsed="false">
      <c r="A10" s="12" t="s">
        <v>289</v>
      </c>
      <c r="B10" s="4" t="s">
        <v>290</v>
      </c>
    </row>
    <row r="11" customFormat="false" ht="15" hidden="false" customHeight="false" outlineLevel="0" collapsed="false">
      <c r="A11" s="12" t="s">
        <v>291</v>
      </c>
      <c r="B11" s="4" t="s">
        <v>292</v>
      </c>
    </row>
    <row r="12" customFormat="false" ht="15" hidden="false" customHeight="false" outlineLevel="0" collapsed="false">
      <c r="A12" s="12" t="s">
        <v>293</v>
      </c>
      <c r="B12" s="4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2026-09-21T14:16:44Z</dcterms:created>
  <dc:creator>openpyxl</dc:creator>
  <dc:description/>
  <dc:language>en-US</dc:language>
  <cp:lastModifiedBy/>
  <dcterms:modified xsi:type="dcterms:W3CDTF">2026-09-21T14:16:44Z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