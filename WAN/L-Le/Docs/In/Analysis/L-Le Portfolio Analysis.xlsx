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ows &amp; Returns" sheetId="1" state="visible" r:id="rId3"/>
    <sheet name="Holdings by Account" sheetId="2" state="visible" r:id="rId4"/>
    <sheet name="Consolidated Holdings" sheetId="3" state="visible" r:id="rId5"/>
    <sheet name="Allocation" sheetId="4" state="visible" r:id="rId6"/>
    <sheet name="Realized &amp; Fees" sheetId="5" state="visible" r:id="rId7"/>
  </sheets>
  <definedNames>
    <definedName function="false" hidden="true" localSheetId="2" name="_xlnm._FilterDatabase" vbProcedure="false">'Consolidated Holdings'!$A$4:$P$65</definedName>
    <definedName function="false" hidden="true" localSheetId="1" name="_xlnm._FilterDatabase" vbProcedure="false">'Holdings by Account'!$A$4:$W$84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<sst xmlns="http://schemas.openxmlformats.org/spreadsheetml/2006/main" count="1852" uniqueCount="395">
  <si>
    <t xml:space="preserve">Account Value, Cash Flows and Returns — Jan 2025 to Aug 2026</t>
  </si>
  <si>
    <t xml:space="preserve">Source: RBC Wealth Management statements dated 12/31/2025 (full-year 2025 columns) and 08/31/2026 (2026 year-to-date columns). Blue = figures taken from the statements; black = formulas.</t>
  </si>
  <si>
    <t xml:space="preserve">Account</t>
  </si>
  <si>
    <t xml:space="preserve">Period</t>
  </si>
  <si>
    <t xml:space="preserve">Months</t>
  </si>
  <si>
    <t xml:space="preserve">Beginning value</t>
  </si>
  <si>
    <t xml:space="preserve">Deposits (as shown)</t>
  </si>
  <si>
    <t xml:space="preserve">Withdrawals (as shown)</t>
  </si>
  <si>
    <t xml:space="preserve">of which: advisory fees</t>
  </si>
  <si>
    <t xml:space="preserve">of which: internal transfer</t>
  </si>
  <si>
    <t xml:space="preserve">of which: external cash in/out</t>
  </si>
  <si>
    <t xml:space="preserve">Income (div/int/cap-gain dist.)</t>
  </si>
  <si>
    <t xml:space="preserve">Change in asset value</t>
  </si>
  <si>
    <t xml:space="preserve">Ending value</t>
  </si>
  <si>
    <t xml:space="preserve">Check (should be 0)</t>
  </si>
  <si>
    <t xml:space="preserve">Investment gain (income + value change)</t>
  </si>
  <si>
    <t xml:space="preserve">Gross return (Mod. Dietz)</t>
  </si>
  <si>
    <t xml:space="preserve">Net return after fees</t>
  </si>
  <si>
    <t xml:space="preserve">Annualized gross</t>
  </si>
  <si>
    <t xml:space="preserve">Realized G/L (YTD)</t>
  </si>
  <si>
    <t xml:space="preserve">Unrealized G/L (period end)</t>
  </si>
  <si>
    <t xml:space="preserve">Est. annual income</t>
  </si>
  <si>
    <t xml:space="preserve">IRA (319-17330)</t>
  </si>
  <si>
    <t xml:space="preserve">2025</t>
  </si>
  <si>
    <t xml:space="preserve">2026 YTD</t>
  </si>
  <si>
    <t xml:space="preserve">Taxable Advisory (319-17342)</t>
  </si>
  <si>
    <t xml:space="preserve">Structured Notes (319-17343)</t>
  </si>
  <si>
    <t xml:space="preserve">Joint w/ Mom (319-17346)</t>
  </si>
  <si>
    <t xml:space="preserve">ALL ACCOUNTS</t>
  </si>
  <si>
    <t xml:space="preserve">ALL ACCOUNTS — full span 1/1/2025 → 8/31/2026</t>
  </si>
  <si>
    <t xml:space="preserve">20 mo</t>
  </si>
  <si>
    <t xml:space="preserve">Notes and assumptions</t>
  </si>
  <si>
    <t xml:space="preserve">• Combined-row returns use external flows only (deposits/withdrawals to/from outside RBC, and fees); the internal transfers between the Structured Notes and Taxable accounts ($8,600 in 2025, $38,100 in 2026) net to zero at the household level.</t>
  </si>
  <si>
    <t xml:space="preserve">• 'Withdrawals' on the IRA and Joint statements are quarterly advisory fees: 2025 fees per the statements' Advisory Fee Summary match the withdrawals ($1,678.68 IRA exactly; Taxable $5,521.38 vs $5,522.60; Joint $3,946.80 vs $3,948.23). 2026 fees are inferred from YTD withdrawals (three quarterly bills: Jan/Apr/Jul); Joint 2026 withdrawals also include a $30,000 cash withdrawal funded by the 5/26/2026 sales of JNBSX ($20,000) and LLDYX ($10,000).</t>
  </si>
  <si>
    <t xml:space="preserve">• Structured Notes account: deposits are $1,000/month AutoPay from JPMorgan Chase (12 in 2025, 8 in 2026). The $28,000 BMO buffer note matured 7/31/2026 for a $5,600 realized gain; $38,100 was then moved to the Taxable account and a new $36,000 Citibank SPX-linked CD (due 8/29/2031) was bought 8/6/2026.</t>
  </si>
  <si>
    <t xml:space="preserve">• Returns are Modified-Dietz approximations (flows assumed mid-period), gross of fees unless labelled 'net'. 'Income' includes reinvested dividends, interest and mutual-fund capital-gain distributions as reported by RBC; 'Change in asset value' is market movement of priced securities.</t>
  </si>
  <si>
    <t xml:space="preserve">• Annualized figures for the 8-month 2026 YTD period extrapolate a partial year and should be read with care.</t>
  </si>
  <si>
    <t xml:space="preserve">Positions by account — 12/31/2025 vs 8/31/2026</t>
  </si>
  <si>
    <t xml:space="preserve">Blue = statement figures. Price return = 8/31/2026 price ÷ 12/31/2025 price − 1 (excludes distributions; mutual-fund and bond-fund total returns are higher than price return). Unrealized % = unrealized gain ÷ RBC net cost (cost includes reinvested distributions).</t>
  </si>
  <si>
    <t xml:space="preserve">Symbol / CUSIP</t>
  </si>
  <si>
    <t xml:space="preserve">Description</t>
  </si>
  <si>
    <t xml:space="preserve">RBC category</t>
  </si>
  <si>
    <t xml:space="preserve">Classification</t>
  </si>
  <si>
    <t xml:space="preserve">Asset class</t>
  </si>
  <si>
    <t xml:space="preserve">Vehicle</t>
  </si>
  <si>
    <t xml:space="preserve">Status</t>
  </si>
  <si>
    <t xml:space="preserve">Qty 12/31/25</t>
  </si>
  <si>
    <t xml:space="preserve">Price 12/31/25</t>
  </si>
  <si>
    <t xml:space="preserve">Value 12/31/25</t>
  </si>
  <si>
    <t xml:space="preserve">Net cost 12/31/25</t>
  </si>
  <si>
    <t xml:space="preserve">Unrealized 12/31/25</t>
  </si>
  <si>
    <t xml:space="preserve">Qty 8/31/26</t>
  </si>
  <si>
    <t xml:space="preserve">Price 8/31/26</t>
  </si>
  <si>
    <t xml:space="preserve">Value 8/31/26</t>
  </si>
  <si>
    <t xml:space="preserve">Net cost 8/31/26</t>
  </si>
  <si>
    <t xml:space="preserve">Unrealized 8/31/26</t>
  </si>
  <si>
    <t xml:space="preserve">Unrealized %</t>
  </si>
  <si>
    <t xml:space="preserve">Price return Dec→Aug</t>
  </si>
  <si>
    <t xml:space="preserve">Weight of total 8/31/26</t>
  </si>
  <si>
    <t xml:space="preserve">Yield on value</t>
  </si>
  <si>
    <t xml:space="preserve">IRA</t>
  </si>
  <si>
    <t xml:space="preserve">RDVY</t>
  </si>
  <si>
    <t xml:space="preserve">FIRST TRUST RISING DIVIDEND</t>
  </si>
  <si>
    <t xml:space="preserve">US Large Cap Equity</t>
  </si>
  <si>
    <t xml:space="preserve">US Dividend-growth ETF</t>
  </si>
  <si>
    <t xml:space="preserve">Equity</t>
  </si>
  <si>
    <t xml:space="preserve">Fund/ETF</t>
  </si>
  <si>
    <t xml:space="preserve">New in 2026</t>
  </si>
  <si>
    <t xml:space="preserve">FFOMX</t>
  </si>
  <si>
    <t xml:space="preserve">FIDELITY SELECT PORTFOLIOS</t>
  </si>
  <si>
    <t xml:space="preserve">Sector fund – Technology</t>
  </si>
  <si>
    <t xml:space="preserve">Held</t>
  </si>
  <si>
    <t xml:space="preserve">LLDYX</t>
  </si>
  <si>
    <t xml:space="preserve">LORD ABBETT SHORT DURATION</t>
  </si>
  <si>
    <t xml:space="preserve">US Corporate Investment Grade Fixed Income</t>
  </si>
  <si>
    <t xml:space="preserve">Short-duration IG bond fund</t>
  </si>
  <si>
    <t xml:space="preserve">Fixed Income</t>
  </si>
  <si>
    <t xml:space="preserve">LSYIX</t>
  </si>
  <si>
    <t xml:space="preserve">LORD ABBETT TR I</t>
  </si>
  <si>
    <t xml:space="preserve">US Corporate High Yield Fixed Income</t>
  </si>
  <si>
    <t xml:space="preserve">Short-duration HY bond fund</t>
  </si>
  <si>
    <t xml:space="preserve">ALAI</t>
  </si>
  <si>
    <t xml:space="preserve">ALGER ETF TRUST (THE)</t>
  </si>
  <si>
    <t xml:space="preserve">Thematic ETF – AI</t>
  </si>
  <si>
    <t xml:space="preserve">VFFIX</t>
  </si>
  <si>
    <t xml:space="preserve">VICTORY PORTFOLIOS</t>
  </si>
  <si>
    <t xml:space="preserve">US Government Fixed Income</t>
  </si>
  <si>
    <t xml:space="preserve">Gov't/MBS income fund</t>
  </si>
  <si>
    <t xml:space="preserve">CASH</t>
  </si>
  <si>
    <t xml:space="preserve">RBC INSURED DEPOSITS</t>
  </si>
  <si>
    <t xml:space="preserve">Cash</t>
  </si>
  <si>
    <t xml:space="preserve">Cash sweep</t>
  </si>
  <si>
    <t xml:space="preserve">FRDAX</t>
  </si>
  <si>
    <t xml:space="preserve">FRANKLIN RISING DIVS ADVISOR</t>
  </si>
  <si>
    <t xml:space="preserve">US Dividend-growth fund</t>
  </si>
  <si>
    <t xml:space="preserve">Sold/matured 2026</t>
  </si>
  <si>
    <t xml:space="preserve">Taxable</t>
  </si>
  <si>
    <t xml:space="preserve">LGLIX</t>
  </si>
  <si>
    <t xml:space="preserve">LORD ABBETT SECS TR</t>
  </si>
  <si>
    <t xml:space="preserve">US Large Growth fund</t>
  </si>
  <si>
    <t xml:space="preserve">AAPL</t>
  </si>
  <si>
    <t xml:space="preserve">APPLE INC</t>
  </si>
  <si>
    <t xml:space="preserve">Individual stock – Technology</t>
  </si>
  <si>
    <t xml:space="preserve">Stock</t>
  </si>
  <si>
    <t xml:space="preserve">FHCIX</t>
  </si>
  <si>
    <t xml:space="preserve">FIDELITY ADVISOR HEALTH CARE</t>
  </si>
  <si>
    <t xml:space="preserve">US Mid Cap Equity</t>
  </si>
  <si>
    <t xml:space="preserve">Sector fund – Health Care</t>
  </si>
  <si>
    <t xml:space="preserve">FPACX</t>
  </si>
  <si>
    <t xml:space="preserve">INVESTMENT MANAGRS SR TR III</t>
  </si>
  <si>
    <t xml:space="preserve">Mixed Assets</t>
  </si>
  <si>
    <t xml:space="preserve">Flexible allocation fund</t>
  </si>
  <si>
    <t xml:space="preserve">Mixed</t>
  </si>
  <si>
    <t xml:space="preserve">AMZN</t>
  </si>
  <si>
    <t xml:space="preserve">AMAZON.COM INC</t>
  </si>
  <si>
    <t xml:space="preserve">Individual stock – Consumer Disc.</t>
  </si>
  <si>
    <t xml:space="preserve">CMSCX</t>
  </si>
  <si>
    <t xml:space="preserve">COLUMBIA FDS SER TR I SMALL CAP GROWTH FD CL INSTL</t>
  </si>
  <si>
    <t xml:space="preserve">US Small Cap Equity</t>
  </si>
  <si>
    <t xml:space="preserve">US Small Cap fund</t>
  </si>
  <si>
    <t xml:space="preserve">META</t>
  </si>
  <si>
    <t xml:space="preserve">META PLATFORMS INC</t>
  </si>
  <si>
    <t xml:space="preserve">Individual stock – Communication</t>
  </si>
  <si>
    <t xml:space="preserve">MSFT</t>
  </si>
  <si>
    <t xml:space="preserve">MICROSOFT CORP</t>
  </si>
  <si>
    <t xml:space="preserve">TIHBX</t>
  </si>
  <si>
    <t xml:space="preserve">TRANSAMERICA FDS</t>
  </si>
  <si>
    <t xml:space="preserve">International Equity</t>
  </si>
  <si>
    <t xml:space="preserve">International Equity fund</t>
  </si>
  <si>
    <t xml:space="preserve">EXPE</t>
  </si>
  <si>
    <t xml:space="preserve">EXPEDIA GROUP INC</t>
  </si>
  <si>
    <t xml:space="preserve">KO</t>
  </si>
  <si>
    <t xml:space="preserve">COCA COLA COMPANY</t>
  </si>
  <si>
    <t xml:space="preserve">Individual stock – Consumer Staples</t>
  </si>
  <si>
    <t xml:space="preserve">CMGIX</t>
  </si>
  <si>
    <t xml:space="preserve">BLACKROCK FUNDS-MID CAP</t>
  </si>
  <si>
    <t xml:space="preserve">US Mid Growth fund</t>
  </si>
  <si>
    <t xml:space="preserve">LBNYX</t>
  </si>
  <si>
    <t xml:space="preserve">LORD ABBETT BOND DEBENTURE</t>
  </si>
  <si>
    <t xml:space="preserve">Multi-sector bond fund</t>
  </si>
  <si>
    <t xml:space="preserve">JPM</t>
  </si>
  <si>
    <t xml:space="preserve">JPMORGAN CHASE &amp; CO</t>
  </si>
  <si>
    <t xml:space="preserve">Individual stock – Financials</t>
  </si>
  <si>
    <t xml:space="preserve">SPOT</t>
  </si>
  <si>
    <t xml:space="preserve">SPOTIFY TECHNOLOGY S A SHS SPOTIFY TECH SA ORD REG</t>
  </si>
  <si>
    <t xml:space="preserve">ALGER ETF TRUST (THE) ALGER AI ENABLERS &amp; ADOPTERS</t>
  </si>
  <si>
    <t xml:space="preserve">GOOG</t>
  </si>
  <si>
    <t xml:space="preserve">ALPHABET INC</t>
  </si>
  <si>
    <t xml:space="preserve">SHLD</t>
  </si>
  <si>
    <t xml:space="preserve">GLOBAL X FUNDS</t>
  </si>
  <si>
    <t xml:space="preserve">Individual stock – Industrials (Defense ETF)</t>
  </si>
  <si>
    <t xml:space="preserve">CRM</t>
  </si>
  <si>
    <t xml:space="preserve">SALESFORCE INC</t>
  </si>
  <si>
    <t xml:space="preserve">NFLX</t>
  </si>
  <si>
    <t xml:space="preserve">NETFLIX INC COM</t>
  </si>
  <si>
    <t xml:space="preserve">JNJ</t>
  </si>
  <si>
    <t xml:space="preserve">JOHNSON &amp; JOHNSON</t>
  </si>
  <si>
    <t xml:space="preserve">Individual stock – Health Care</t>
  </si>
  <si>
    <t xml:space="preserve">WMB</t>
  </si>
  <si>
    <t xml:space="preserve">WILLIAMS COMPANIES INC</t>
  </si>
  <si>
    <t xml:space="preserve">Individual stock – Energy</t>
  </si>
  <si>
    <t xml:space="preserve">CVX</t>
  </si>
  <si>
    <t xml:space="preserve">CHEVRON CORPORATION</t>
  </si>
  <si>
    <t xml:space="preserve">NOW</t>
  </si>
  <si>
    <t xml:space="preserve">SERVICENOW INC COM</t>
  </si>
  <si>
    <t xml:space="preserve">PEP</t>
  </si>
  <si>
    <t xml:space="preserve">PEPSICO INC</t>
  </si>
  <si>
    <t xml:space="preserve">MDT</t>
  </si>
  <si>
    <t xml:space="preserve">MEDTRONIC PLC</t>
  </si>
  <si>
    <t xml:space="preserve">QCOM</t>
  </si>
  <si>
    <t xml:space="preserve">QUALCOMM INC</t>
  </si>
  <si>
    <t xml:space="preserve">GOOGL</t>
  </si>
  <si>
    <t xml:space="preserve">HD</t>
  </si>
  <si>
    <t xml:space="preserve">HOME DEPOT INC</t>
  </si>
  <si>
    <t xml:space="preserve">MCD</t>
  </si>
  <si>
    <t xml:space="preserve">MCDONALDS CORP</t>
  </si>
  <si>
    <t xml:space="preserve">HON</t>
  </si>
  <si>
    <t xml:space="preserve">HONEYWELL INTERNATIONAL INC</t>
  </si>
  <si>
    <t xml:space="preserve">Individual stock – Industrials</t>
  </si>
  <si>
    <t xml:space="preserve">HONA</t>
  </si>
  <si>
    <t xml:space="preserve">HONEYWELL AEROSPACE INC</t>
  </si>
  <si>
    <t xml:space="preserve">BIAGX</t>
  </si>
  <si>
    <t xml:space="preserve">BROWN ADVISORY GROWTH EQUITY</t>
  </si>
  <si>
    <t xml:space="preserve">NWKDX</t>
  </si>
  <si>
    <t xml:space="preserve">NATIONWIDE MUT FDS NEW</t>
  </si>
  <si>
    <t xml:space="preserve">US Small Growth fund</t>
  </si>
  <si>
    <t xml:space="preserve">Struct. Notes</t>
  </si>
  <si>
    <t xml:space="preserve">17290GZT7</t>
  </si>
  <si>
    <t xml:space="preserve">CITIBANK N A C/D FDIC INS TO LIMITS</t>
  </si>
  <si>
    <t xml:space="preserve">Market-linked CD – SPX</t>
  </si>
  <si>
    <t xml:space="preserve">Structured</t>
  </si>
  <si>
    <t xml:space="preserve">44330UAS1</t>
  </si>
  <si>
    <t xml:space="preserve">HSBC BANK USA NA C/D FDIC INS TO LIMITS</t>
  </si>
  <si>
    <t xml:space="preserve">Market-linked CD – NDX</t>
  </si>
  <si>
    <t xml:space="preserve">06375MS97</t>
  </si>
  <si>
    <t xml:space="preserve">BANK OF MONTREAL BUFFER ABSOLUTE RETURN NOTE</t>
  </si>
  <si>
    <t xml:space="preserve">Alternative and Other Equity</t>
  </si>
  <si>
    <t xml:space="preserve">Structured note – SPX buffer</t>
  </si>
  <si>
    <t xml:space="preserve">Joint</t>
  </si>
  <si>
    <t xml:space="preserve">JNBSX</t>
  </si>
  <si>
    <t xml:space="preserve">JPMORGAN TR I</t>
  </si>
  <si>
    <t xml:space="preserve">Income builder (multi-asset)</t>
  </si>
  <si>
    <t xml:space="preserve">CSOIX</t>
  </si>
  <si>
    <t xml:space="preserve">CREDIT SUISSE STRATEGIC</t>
  </si>
  <si>
    <t xml:space="preserve">Strategic income (HY) fund</t>
  </si>
  <si>
    <t xml:space="preserve">TXN</t>
  </si>
  <si>
    <t xml:space="preserve">TEXAS INSTRUMENTS INCORPORATED</t>
  </si>
  <si>
    <t xml:space="preserve">AMGN</t>
  </si>
  <si>
    <t xml:space="preserve">AMGEN INC</t>
  </si>
  <si>
    <t xml:space="preserve">XOM</t>
  </si>
  <si>
    <t xml:space="preserve">EXXONMOBIL HOLDINGS</t>
  </si>
  <si>
    <t xml:space="preserve">NEE</t>
  </si>
  <si>
    <t xml:space="preserve">NEXTERA ENERGY INC</t>
  </si>
  <si>
    <t xml:space="preserve">Individual stock – Utilities</t>
  </si>
  <si>
    <t xml:space="preserve">GD</t>
  </si>
  <si>
    <t xml:space="preserve">GENERAL DYNAMICS CORP</t>
  </si>
  <si>
    <t xml:space="preserve">APD</t>
  </si>
  <si>
    <t xml:space="preserve">AIR PRODUCTS &amp; CHEMICALS INC</t>
  </si>
  <si>
    <t xml:space="preserve">Individual stock – Materials</t>
  </si>
  <si>
    <t xml:space="preserve">V</t>
  </si>
  <si>
    <t xml:space="preserve">VISA INC</t>
  </si>
  <si>
    <t xml:space="preserve">PG</t>
  </si>
  <si>
    <t xml:space="preserve">PROCTER &amp; GAMBLE CO</t>
  </si>
  <si>
    <t xml:space="preserve">MRSH</t>
  </si>
  <si>
    <t xml:space="preserve">MARSH</t>
  </si>
  <si>
    <t xml:space="preserve">SO</t>
  </si>
  <si>
    <t xml:space="preserve">SOUTHERN CO</t>
  </si>
  <si>
    <t xml:space="preserve">ECL</t>
  </si>
  <si>
    <t xml:space="preserve">ECOLAB INC</t>
  </si>
  <si>
    <t xml:space="preserve">TMUS</t>
  </si>
  <si>
    <t xml:space="preserve">T MOBILE US INC</t>
  </si>
  <si>
    <t xml:space="preserve">WM</t>
  </si>
  <si>
    <t xml:space="preserve">WASTE MANAGEMENT INC DEL</t>
  </si>
  <si>
    <t xml:space="preserve">ACN</t>
  </si>
  <si>
    <t xml:space="preserve">ACCENTURE PLC IRELAND</t>
  </si>
  <si>
    <t xml:space="preserve">MMC</t>
  </si>
  <si>
    <t xml:space="preserve">MARSH &amp; MCLENNAN COMPANIES INC</t>
  </si>
  <si>
    <t xml:space="preserve">TOTAL</t>
  </si>
  <si>
    <t xml:space="preserve">Consolidated holdings across all four accounts — 8/31/2026</t>
  </si>
  <si>
    <t xml:space="preserve">Formulas roll up the 'Holdings by Account' sheet with SUMIF on symbol.</t>
  </si>
  <si>
    <t xml:space="preserve">Sector (stocks)</t>
  </si>
  <si>
    <t xml:space="preserve">Held in</t>
  </si>
  <si>
    <t xml:space="preserve">Unrealized G/L</t>
  </si>
  <si>
    <t xml:space="preserve">Weight 8/31/26</t>
  </si>
  <si>
    <t xml:space="preserve">Cumulative weight</t>
  </si>
  <si>
    <t xml:space="preserve">IRA, Taxable</t>
  </si>
  <si>
    <t xml:space="preserve">IRA, Taxable, Joint</t>
  </si>
  <si>
    <t xml:space="preserve">Technology</t>
  </si>
  <si>
    <t xml:space="preserve">Taxable, Joint</t>
  </si>
  <si>
    <t xml:space="preserve">IRA, Joint</t>
  </si>
  <si>
    <t xml:space="preserve">Consumer Disc.</t>
  </si>
  <si>
    <t xml:space="preserve">Consumer Staples</t>
  </si>
  <si>
    <t xml:space="preserve">Communication</t>
  </si>
  <si>
    <t xml:space="preserve">Financials</t>
  </si>
  <si>
    <t xml:space="preserve">Health Care</t>
  </si>
  <si>
    <t xml:space="preserve">Energy</t>
  </si>
  <si>
    <t xml:space="preserve">Industrials (Defense ETF)</t>
  </si>
  <si>
    <t xml:space="preserve">Utilities</t>
  </si>
  <si>
    <t xml:space="preserve">Industrials</t>
  </si>
  <si>
    <t xml:space="preserve">IRA, Taxable, Struct. Notes, Joint</t>
  </si>
  <si>
    <t xml:space="preserve">Materials</t>
  </si>
  <si>
    <t xml:space="preserve">Diversification — 8/31/2026 (with 12/31/2025 for comparison)</t>
  </si>
  <si>
    <t xml:space="preserve">By asset class</t>
  </si>
  <si>
    <t xml:space="preserve">Category</t>
  </si>
  <si>
    <t xml:space="preserve">% 12/31/25</t>
  </si>
  <si>
    <t xml:space="preserve">% 8/31/26</t>
  </si>
  <si>
    <t xml:space="preserve">Change in weight</t>
  </si>
  <si>
    <t xml:space="preserve">Total</t>
  </si>
  <si>
    <t xml:space="preserve">By vehicle</t>
  </si>
  <si>
    <t xml:space="preserve">By classification (stock sector / fund style)</t>
  </si>
  <si>
    <t xml:space="preserve">By account</t>
  </si>
  <si>
    <t xml:space="preserve">Concentration metrics (8/31/2026)</t>
  </si>
  <si>
    <t xml:space="preserve">Top-10 positions share of total (ex-cash)</t>
  </si>
  <si>
    <t xml:space="preserve">Technology-heavy exposure (AAPL, MSFT, META, GOOG/GOOGL, AMZN, NFLX, SPOT, TXN, QCOM, CRM, NOW + FFOMX tech fund, LGLIX growth fund, ALAI AI ETF)</t>
  </si>
  <si>
    <t xml:space="preserve">Herfindahl index of position weights (ex-cash)</t>
  </si>
  <si>
    <t xml:space="preserve">Effective number of positions (1 ÷ HHI)</t>
  </si>
  <si>
    <t xml:space="preserve">Distinct securities held (ex-cash)</t>
  </si>
  <si>
    <t xml:space="preserve">Realized gains/losses (from statement schedules) and advisory fees</t>
  </si>
  <si>
    <t xml:space="preserve">Statement</t>
  </si>
  <si>
    <t xml:space="preserve">Symbol</t>
  </si>
  <si>
    <t xml:space="preserve">Qty</t>
  </si>
  <si>
    <t xml:space="preserve">Open date</t>
  </si>
  <si>
    <t xml:space="preserve">Net cost</t>
  </si>
  <si>
    <t xml:space="preserve">Close date</t>
  </si>
  <si>
    <t xml:space="preserve">Proceeds</t>
  </si>
  <si>
    <t xml:space="preserve">Realized G/L</t>
  </si>
  <si>
    <t xml:space="preserve">12-31-2025</t>
  </si>
  <si>
    <t xml:space="preserve">09/11/19</t>
  </si>
  <si>
    <t xml:space="preserve">09/05/25</t>
  </si>
  <si>
    <t xml:space="preserve">10/23/17</t>
  </si>
  <si>
    <t xml:space="preserve">10/16/25</t>
  </si>
  <si>
    <t xml:space="preserve">SOLS</t>
  </si>
  <si>
    <t xml:space="preserve">SOLSTICE ADVANCED MATERIALS</t>
  </si>
  <si>
    <t xml:space="preserve">12/06/24</t>
  </si>
  <si>
    <t xml:space="preserve">11/28/25</t>
  </si>
  <si>
    <t xml:space="preserve">03/14/25</t>
  </si>
  <si>
    <t xml:space="preserve">06/06/25</t>
  </si>
  <si>
    <t xml:space="preserve">UNH</t>
  </si>
  <si>
    <t xml:space="preserve">UNITEDHEALTH GROUP INC</t>
  </si>
  <si>
    <t xml:space="preserve">09/24/24</t>
  </si>
  <si>
    <t xml:space="preserve">12/17/24</t>
  </si>
  <si>
    <t xml:space="preserve">03/18/25</t>
  </si>
  <si>
    <t xml:space="preserve">06/24/25</t>
  </si>
  <si>
    <t xml:space="preserve">01/12/22</t>
  </si>
  <si>
    <t xml:space="preserve">10/31/25</t>
  </si>
  <si>
    <t xml:space="preserve">03/11/22</t>
  </si>
  <si>
    <t xml:space="preserve">06/03/22</t>
  </si>
  <si>
    <t xml:space="preserve">09/02/22</t>
  </si>
  <si>
    <t xml:space="preserve">12/02/22</t>
  </si>
  <si>
    <t xml:space="preserve">03/10/23</t>
  </si>
  <si>
    <t xml:space="preserve">06/02/23</t>
  </si>
  <si>
    <t xml:space="preserve">09/01/23</t>
  </si>
  <si>
    <t xml:space="preserve">12/01/23</t>
  </si>
  <si>
    <t xml:space="preserve">03/15/24</t>
  </si>
  <si>
    <t xml:space="preserve">06/07/24</t>
  </si>
  <si>
    <t xml:space="preserve">09/06/24</t>
  </si>
  <si>
    <t xml:space="preserve">02/07/20</t>
  </si>
  <si>
    <t xml:space="preserve">09/21/21</t>
  </si>
  <si>
    <t xml:space="preserve">12/14/21</t>
  </si>
  <si>
    <t xml:space="preserve">03/22/22</t>
  </si>
  <si>
    <t xml:space="preserve">06/28/22</t>
  </si>
  <si>
    <t xml:space="preserve">09/20/22</t>
  </si>
  <si>
    <t xml:space="preserve">12/13/22</t>
  </si>
  <si>
    <t xml:space="preserve">03/16/23</t>
  </si>
  <si>
    <t xml:space="preserve">03/21/23</t>
  </si>
  <si>
    <t xml:space="preserve">06/27/23</t>
  </si>
  <si>
    <t xml:space="preserve">09/19/23</t>
  </si>
  <si>
    <t xml:space="preserve">12/12/23</t>
  </si>
  <si>
    <t xml:space="preserve">03/19/24</t>
  </si>
  <si>
    <t xml:space="preserve">06/25/24</t>
  </si>
  <si>
    <t xml:space="preserve">11/17/25</t>
  </si>
  <si>
    <t xml:space="preserve">TFC</t>
  </si>
  <si>
    <t xml:space="preserve">TRUIST FINANCIAL CORPORATION</t>
  </si>
  <si>
    <t xml:space="preserve">12/02/24</t>
  </si>
  <si>
    <t xml:space="preserve">11/03/25</t>
  </si>
  <si>
    <t xml:space="preserve">03/03/25</t>
  </si>
  <si>
    <t xml:space="preserve">06/02/25</t>
  </si>
  <si>
    <t xml:space="preserve">09/02/25</t>
  </si>
  <si>
    <t xml:space="preserve">10/01/18</t>
  </si>
  <si>
    <t xml:space="preserve">06/09/17</t>
  </si>
  <si>
    <t xml:space="preserve">04/16/25</t>
  </si>
  <si>
    <t xml:space="preserve">03/05/24</t>
  </si>
  <si>
    <t xml:space="preserve">05/20/25</t>
  </si>
  <si>
    <t xml:space="preserve">11/12/18</t>
  </si>
  <si>
    <t xml:space="preserve">03/01/19</t>
  </si>
  <si>
    <t xml:space="preserve">06/03/19</t>
  </si>
  <si>
    <t xml:space="preserve">09/03/19</t>
  </si>
  <si>
    <t xml:space="preserve">12/02/19</t>
  </si>
  <si>
    <t xml:space="preserve">03/02/20</t>
  </si>
  <si>
    <t xml:space="preserve">06/01/20</t>
  </si>
  <si>
    <t xml:space="preserve">09/01/20</t>
  </si>
  <si>
    <t xml:space="preserve">12/01/20</t>
  </si>
  <si>
    <t xml:space="preserve">03/01/21</t>
  </si>
  <si>
    <t xml:space="preserve">06/01/21</t>
  </si>
  <si>
    <t xml:space="preserve">09/01/21</t>
  </si>
  <si>
    <t xml:space="preserve">12/01/21</t>
  </si>
  <si>
    <t xml:space="preserve">03/01/22</t>
  </si>
  <si>
    <t xml:space="preserve">06/01/22</t>
  </si>
  <si>
    <t xml:space="preserve">09/01/22</t>
  </si>
  <si>
    <t xml:space="preserve">12/01/22</t>
  </si>
  <si>
    <t xml:space="preserve">03/01/23</t>
  </si>
  <si>
    <t xml:space="preserve">06/01/23</t>
  </si>
  <si>
    <t xml:space="preserve">03/01/24</t>
  </si>
  <si>
    <t xml:space="preserve">06/03/24</t>
  </si>
  <si>
    <t xml:space="preserve">09/03/24</t>
  </si>
  <si>
    <t xml:space="preserve">08-31-2026</t>
  </si>
  <si>
    <t xml:space="preserve">02/17/26</t>
  </si>
  <si>
    <t xml:space="preserve">08/18/25</t>
  </si>
  <si>
    <t xml:space="preserve">02/18/26</t>
  </si>
  <si>
    <t xml:space="preserve">07/24/26</t>
  </si>
  <si>
    <t xml:space="preserve">06/29/26</t>
  </si>
  <si>
    <t xml:space="preserve">07/06/26</t>
  </si>
  <si>
    <t xml:space="preserve">05/26/26</t>
  </si>
  <si>
    <t xml:space="preserve">Total listed</t>
  </si>
  <si>
    <t xml:space="preserve">Note: the 12/31/2025 statements list every 2025 lot; the 8/31/2026 statements only carry a realized schedule for the Joint account (the IRA's $13,970.61 FRDAX gain, the Taxable account's −$6,575.70 and the Structured Notes' +$5,600 BMO maturity appear only as YTD totals on the Flows &amp; Returns sheet).</t>
  </si>
  <si>
    <t xml:space="preserve">Advisory fee schedule 2025 (from statements)</t>
  </si>
  <si>
    <t xml:space="preserve">Billing period start</t>
  </si>
  <si>
    <t xml:space="preserve">Billing period end</t>
  </si>
  <si>
    <t xml:space="preserve">Fee</t>
  </si>
  <si>
    <t xml:space="preserve">Paid date</t>
  </si>
  <si>
    <t xml:space="preserve">01/01/2025</t>
  </si>
  <si>
    <t xml:space="preserve">03/31/2025</t>
  </si>
  <si>
    <t xml:space="preserve">01/16/2025</t>
  </si>
  <si>
    <t xml:space="preserve">04/01/2025</t>
  </si>
  <si>
    <t xml:space="preserve">06/30/2025</t>
  </si>
  <si>
    <t xml:space="preserve">04/15/2025</t>
  </si>
  <si>
    <t xml:space="preserve">07/01/2025</t>
  </si>
  <si>
    <t xml:space="preserve">09/30/2025</t>
  </si>
  <si>
    <t xml:space="preserve">07/16/2025</t>
  </si>
  <si>
    <t xml:space="preserve">10/01/2025</t>
  </si>
  <si>
    <t xml:space="preserve">12/31/2025</t>
  </si>
  <si>
    <t xml:space="preserve">10/15/2025</t>
  </si>
  <si>
    <t xml:space="preserve">Total 2025 fees</t>
  </si>
  <si>
    <t xml:space="preserve">Fee rate on 12/31/2025 value (Taxable + IRA + Joint)</t>
  </si>
  <si>
    <t xml:space="preserve">2026 YTD fees inferred from withdrawals: IRA $1,423.04 · Taxable $4,622.42 · Joint $2,989.42 (three quarterly bills each).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</si>
</sst>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0%;\(0.00%\);\-"/>
    <numFmt numFmtId="167" formatCode="#,##0.000"/>
    <numFmt numFmtId="168" formatCode="\$#,##0.000"/>
    <numFmt numFmtId="169" formatCode="0.0000"/>
    <numFmt numFmtId="170" formatCode="0.0"/>
    <numFmt numFmtId="171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8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7" min="15" style="0" width="12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5" t="n">
        <v>12</v>
      </c>
      <c r="D5" s="6" t="n">
        <v>162707.7</v>
      </c>
      <c r="E5" s="6" t="n">
        <v>0</v>
      </c>
      <c r="F5" s="6" t="n">
        <v>-1678.68</v>
      </c>
      <c r="G5" s="6" t="n">
        <v>1678.68</v>
      </c>
      <c r="H5" s="6" t="n">
        <v>0</v>
      </c>
      <c r="I5" s="6" t="n">
        <v>0</v>
      </c>
      <c r="J5" s="6" t="n">
        <v>14388.04</v>
      </c>
      <c r="K5" s="6" t="n">
        <v>6854.12</v>
      </c>
      <c r="L5" s="6" t="n">
        <v>182271.18</v>
      </c>
      <c r="M5" s="7" t="n">
        <f aca="false">D5+E5+F5+J5+K5-L5</f>
        <v>0</v>
      </c>
      <c r="N5" s="7" t="n">
        <f aca="false">J5+K5</f>
        <v>21242.16</v>
      </c>
      <c r="O5" s="8" t="n">
        <f aca="false">IF(D5=0,0,N5/(D5+0.5*(E5+F5)))</f>
        <v>0.131231081849473</v>
      </c>
      <c r="P5" s="8" t="n">
        <f aca="false">IF(D5=0,0,(N5-G5)/(D5+0.5*(E5+F5+G5)))</f>
        <v>0.120236964814818</v>
      </c>
      <c r="Q5" s="8" t="n">
        <f aca="false">(1+O5)^(12/C5)-1</f>
        <v>0.131231081849473</v>
      </c>
      <c r="R5" s="6" t="n">
        <v>2984.89</v>
      </c>
      <c r="S5" s="6" t="n">
        <v>19543.23</v>
      </c>
      <c r="T5" s="6" t="n">
        <v>4239.7</v>
      </c>
    </row>
    <row r="6" customFormat="false" ht="15" hidden="false" customHeight="false" outlineLevel="0" collapsed="false">
      <c r="A6" s="4" t="s">
        <v>22</v>
      </c>
      <c r="B6" s="4" t="s">
        <v>24</v>
      </c>
      <c r="C6" s="5" t="n">
        <v>8</v>
      </c>
      <c r="D6" s="6" t="n">
        <v>182271.18</v>
      </c>
      <c r="E6" s="6" t="n">
        <v>0</v>
      </c>
      <c r="F6" s="6" t="n">
        <v>-1423.04</v>
      </c>
      <c r="G6" s="6" t="n">
        <v>1423.04</v>
      </c>
      <c r="H6" s="6" t="n">
        <v>0</v>
      </c>
      <c r="I6" s="6" t="n">
        <v>0</v>
      </c>
      <c r="J6" s="6" t="n">
        <v>4045.63</v>
      </c>
      <c r="K6" s="6" t="n">
        <v>24865.24</v>
      </c>
      <c r="L6" s="6" t="n">
        <v>209759.01</v>
      </c>
      <c r="M6" s="7" t="n">
        <f aca="false">D6+E6+F6+J6+K6-L6</f>
        <v>0</v>
      </c>
      <c r="N6" s="7" t="n">
        <f aca="false">J6+K6</f>
        <v>28910.87</v>
      </c>
      <c r="O6" s="8" t="n">
        <f aca="false">IF(D6=0,0,N6/(D6+0.5*(E6+F6)))</f>
        <v>0.159236198173096</v>
      </c>
      <c r="P6" s="8" t="n">
        <f aca="false">IF(D6=0,0,(N6-G6)/(D6+0.5*(E6+F6+G6)))</f>
        <v>0.150807330045266</v>
      </c>
      <c r="Q6" s="8" t="n">
        <f aca="false">(1+O6)^(12/C6)-1</f>
        <v>0.248124478787273</v>
      </c>
      <c r="R6" s="6" t="n">
        <v>13970.61</v>
      </c>
      <c r="S6" s="6" t="n">
        <v>30438.4</v>
      </c>
      <c r="T6" s="6" t="n">
        <v>4117.17</v>
      </c>
    </row>
    <row r="7" customFormat="false" ht="15" hidden="false" customHeight="false" outlineLevel="0" collapsed="false">
      <c r="A7" s="4" t="s">
        <v>25</v>
      </c>
      <c r="B7" s="4" t="s">
        <v>23</v>
      </c>
      <c r="C7" s="5" t="n">
        <v>12</v>
      </c>
      <c r="D7" s="6" t="n">
        <v>537560.75</v>
      </c>
      <c r="E7" s="6" t="n">
        <v>8600</v>
      </c>
      <c r="F7" s="6" t="n">
        <v>-5522.6</v>
      </c>
      <c r="G7" s="6" t="n">
        <v>5521.38</v>
      </c>
      <c r="H7" s="6" t="n">
        <v>8600</v>
      </c>
      <c r="I7" s="6" t="n">
        <v>0</v>
      </c>
      <c r="J7" s="6" t="n">
        <v>31305.19</v>
      </c>
      <c r="K7" s="6" t="n">
        <v>27144.25</v>
      </c>
      <c r="L7" s="6" t="n">
        <v>599087.59</v>
      </c>
      <c r="M7" s="7" t="n">
        <f aca="false">D7+E7+F7+J7+K7-L7</f>
        <v>0</v>
      </c>
      <c r="N7" s="7" t="n">
        <f aca="false">J7+K7</f>
        <v>58449.44</v>
      </c>
      <c r="O7" s="8" t="n">
        <f aca="false">IF(D7=0,0,N7/(D7+0.5*(E7+F7)))</f>
        <v>0.108420514990323</v>
      </c>
      <c r="P7" s="8" t="n">
        <f aca="false">IF(D7=0,0,(N7-G7)/(D7+0.5*(E7+F7+G7)))</f>
        <v>0.0976784525984879</v>
      </c>
      <c r="Q7" s="8" t="n">
        <f aca="false">(1+O7)^(12/C7)-1</f>
        <v>0.108420514990323</v>
      </c>
      <c r="R7" s="6" t="n">
        <v>-383.49</v>
      </c>
      <c r="S7" s="6" t="n">
        <v>162928.33</v>
      </c>
      <c r="T7" s="6" t="n">
        <v>7053.1</v>
      </c>
    </row>
    <row r="8" customFormat="false" ht="15" hidden="false" customHeight="false" outlineLevel="0" collapsed="false">
      <c r="A8" s="4" t="s">
        <v>25</v>
      </c>
      <c r="B8" s="4" t="s">
        <v>24</v>
      </c>
      <c r="C8" s="5" t="n">
        <v>8</v>
      </c>
      <c r="D8" s="6" t="n">
        <v>599087.59</v>
      </c>
      <c r="E8" s="6" t="n">
        <v>38100</v>
      </c>
      <c r="F8" s="6" t="n">
        <v>-4622.42</v>
      </c>
      <c r="G8" s="6" t="n">
        <v>4622.42</v>
      </c>
      <c r="H8" s="6" t="n">
        <v>38100</v>
      </c>
      <c r="I8" s="6" t="n">
        <v>0</v>
      </c>
      <c r="J8" s="6" t="n">
        <v>8030.43</v>
      </c>
      <c r="K8" s="6" t="n">
        <v>51293.52</v>
      </c>
      <c r="L8" s="6" t="n">
        <v>691889.12</v>
      </c>
      <c r="M8" s="7" t="n">
        <f aca="false">D8+E8+F8+J8+K8-L8</f>
        <v>0</v>
      </c>
      <c r="N8" s="7" t="n">
        <f aca="false">J8+K8</f>
        <v>59323.95</v>
      </c>
      <c r="O8" s="8" t="n">
        <f aca="false">IF(D8=0,0,N8/(D8+0.5*(E8+F8)))</f>
        <v>0.0963322649477926</v>
      </c>
      <c r="P8" s="8" t="n">
        <f aca="false">IF(D8=0,0,(N8-G8)/(D8+0.5*(E8+F8+G8)))</f>
        <v>0.0884941004801213</v>
      </c>
      <c r="Q8" s="8" t="n">
        <f aca="false">(1+O8)^(12/C8)-1</f>
        <v>0.147924416042472</v>
      </c>
      <c r="R8" s="6" t="n">
        <v>-6575.7</v>
      </c>
      <c r="S8" s="6" t="n">
        <v>220856.64</v>
      </c>
      <c r="T8" s="6" t="n">
        <v>7288.23</v>
      </c>
    </row>
    <row r="9" customFormat="false" ht="15" hidden="false" customHeight="false" outlineLevel="0" collapsed="false">
      <c r="A9" s="4" t="s">
        <v>26</v>
      </c>
      <c r="B9" s="4" t="s">
        <v>23</v>
      </c>
      <c r="C9" s="5" t="n">
        <v>12</v>
      </c>
      <c r="D9" s="6" t="n">
        <v>88754.51</v>
      </c>
      <c r="E9" s="6" t="n">
        <v>12000</v>
      </c>
      <c r="F9" s="6" t="n">
        <v>-8600</v>
      </c>
      <c r="G9" s="6" t="n">
        <v>0</v>
      </c>
      <c r="H9" s="6" t="n">
        <v>-8600</v>
      </c>
      <c r="I9" s="6" t="n">
        <v>12000</v>
      </c>
      <c r="J9" s="6" t="n">
        <v>12.86</v>
      </c>
      <c r="K9" s="6" t="n">
        <v>5636.85</v>
      </c>
      <c r="L9" s="6" t="n">
        <v>97804.22</v>
      </c>
      <c r="M9" s="7" t="n">
        <f aca="false">D9+E9+F9+J9+K9-L9</f>
        <v>0</v>
      </c>
      <c r="N9" s="7" t="n">
        <f aca="false">J9+K9</f>
        <v>5649.71</v>
      </c>
      <c r="O9" s="8" t="n">
        <f aca="false">IF(D9=0,0,N9/(D9+0.5*(E9+F9)))</f>
        <v>0.0624591300091062</v>
      </c>
      <c r="P9" s="8" t="n">
        <f aca="false">IF(D9=0,0,(N9-G9)/(D9+0.5*(E9+F9+G9)))</f>
        <v>0.0624591300091062</v>
      </c>
      <c r="Q9" s="8" t="n">
        <f aca="false">(1+O9)^(12/C9)-1</f>
        <v>0.0624591300091062</v>
      </c>
      <c r="R9" s="6" t="n">
        <v>-3243.65</v>
      </c>
      <c r="S9" s="6" t="n">
        <v>4438.45</v>
      </c>
      <c r="T9" s="6" t="n">
        <v>0</v>
      </c>
    </row>
    <row r="10" customFormat="false" ht="15" hidden="false" customHeight="false" outlineLevel="0" collapsed="false">
      <c r="A10" s="4" t="s">
        <v>26</v>
      </c>
      <c r="B10" s="4" t="s">
        <v>24</v>
      </c>
      <c r="C10" s="5" t="n">
        <v>8</v>
      </c>
      <c r="D10" s="6" t="n">
        <v>97804.22</v>
      </c>
      <c r="E10" s="6" t="n">
        <v>8000</v>
      </c>
      <c r="F10" s="6" t="n">
        <v>-38100</v>
      </c>
      <c r="G10" s="6" t="n">
        <v>0</v>
      </c>
      <c r="H10" s="6" t="n">
        <v>-38100</v>
      </c>
      <c r="I10" s="6" t="n">
        <v>8000</v>
      </c>
      <c r="J10" s="6" t="n">
        <v>1.45</v>
      </c>
      <c r="K10" s="6" t="n">
        <v>1607.4</v>
      </c>
      <c r="L10" s="6" t="n">
        <v>69313.07</v>
      </c>
      <c r="M10" s="7" t="n">
        <f aca="false">D10+E10+F10+J10+K10-L10</f>
        <v>0</v>
      </c>
      <c r="N10" s="7" t="n">
        <f aca="false">J10+K10</f>
        <v>1608.85</v>
      </c>
      <c r="O10" s="8" t="n">
        <f aca="false">IF(D10=0,0,N10/(D10+0.5*(E10+F10)))</f>
        <v>0.0194413046247068</v>
      </c>
      <c r="P10" s="8" t="n">
        <f aca="false">IF(D10=0,0,(N10-G10)/(D10+0.5*(E10+F10+G10)))</f>
        <v>0.0194413046247068</v>
      </c>
      <c r="Q10" s="8" t="n">
        <f aca="false">(1+O10)^(12/C10)-1</f>
        <v>0.0293032376176818</v>
      </c>
      <c r="R10" s="6" t="n">
        <v>5600</v>
      </c>
      <c r="S10" s="6" t="n">
        <v>-324.03</v>
      </c>
      <c r="T10" s="6" t="n">
        <v>0</v>
      </c>
    </row>
    <row r="11" customFormat="false" ht="15" hidden="false" customHeight="false" outlineLevel="0" collapsed="false">
      <c r="A11" s="4" t="s">
        <v>27</v>
      </c>
      <c r="B11" s="4" t="s">
        <v>23</v>
      </c>
      <c r="C11" s="5" t="n">
        <v>12</v>
      </c>
      <c r="D11" s="6" t="n">
        <v>306430.23</v>
      </c>
      <c r="E11" s="6" t="n">
        <v>0</v>
      </c>
      <c r="F11" s="6" t="n">
        <v>-3948.23</v>
      </c>
      <c r="G11" s="6" t="n">
        <v>3946.8</v>
      </c>
      <c r="H11" s="6" t="n">
        <v>0</v>
      </c>
      <c r="I11" s="6" t="n">
        <v>0</v>
      </c>
      <c r="J11" s="6" t="n">
        <v>13109.45</v>
      </c>
      <c r="K11" s="6" t="n">
        <v>15008.02</v>
      </c>
      <c r="L11" s="6" t="n">
        <v>330599.47</v>
      </c>
      <c r="M11" s="7" t="n">
        <f aca="false">D11+E11+F11+J11+K11-L11</f>
        <v>0</v>
      </c>
      <c r="N11" s="7" t="n">
        <f aca="false">J11+K11</f>
        <v>28117.47</v>
      </c>
      <c r="O11" s="8" t="n">
        <f aca="false">IF(D11=0,0,N11/(D11+0.5*(E11+F11)))</f>
        <v>0.0923531130258297</v>
      </c>
      <c r="P11" s="8" t="n">
        <f aca="false">IF(D11=0,0,(N11-G11)/(D11+0.5*(E11+F11+G11)))</f>
        <v>0.078878400470007</v>
      </c>
      <c r="Q11" s="8" t="n">
        <f aca="false">(1+O11)^(12/C11)-1</f>
        <v>0.0923531130258297</v>
      </c>
      <c r="R11" s="6" t="n">
        <v>418.89</v>
      </c>
      <c r="S11" s="6" t="n">
        <v>72121.53</v>
      </c>
      <c r="T11" s="6" t="n">
        <v>15649.26</v>
      </c>
    </row>
    <row r="12" customFormat="false" ht="15" hidden="false" customHeight="false" outlineLevel="0" collapsed="false">
      <c r="A12" s="4" t="s">
        <v>27</v>
      </c>
      <c r="B12" s="4" t="s">
        <v>24</v>
      </c>
      <c r="C12" s="5" t="n">
        <v>8</v>
      </c>
      <c r="D12" s="6" t="n">
        <v>330599.47</v>
      </c>
      <c r="E12" s="6" t="n">
        <v>0</v>
      </c>
      <c r="F12" s="6" t="n">
        <v>-32989.42</v>
      </c>
      <c r="G12" s="6" t="n">
        <v>2989.42</v>
      </c>
      <c r="H12" s="6" t="n">
        <v>0</v>
      </c>
      <c r="I12" s="6" t="n">
        <v>-30000</v>
      </c>
      <c r="J12" s="6" t="n">
        <v>8819.95</v>
      </c>
      <c r="K12" s="6" t="n">
        <v>18894.83</v>
      </c>
      <c r="L12" s="6" t="n">
        <v>325324.83</v>
      </c>
      <c r="M12" s="7" t="n">
        <f aca="false">D12+E12+F12+J12+K12-L12</f>
        <v>0</v>
      </c>
      <c r="N12" s="7" t="n">
        <f aca="false">J12+K12</f>
        <v>27714.78</v>
      </c>
      <c r="O12" s="8" t="n">
        <f aca="false">IF(D12=0,0,N12/(D12+0.5*(E12+F12)))</f>
        <v>0.0882341929488748</v>
      </c>
      <c r="P12" s="8" t="n">
        <f aca="false">IF(D12=0,0,(N12-G12)/(D12+0.5*(E12+F12+G12)))</f>
        <v>0.0783441112876394</v>
      </c>
      <c r="Q12" s="8" t="n">
        <f aca="false">(1+O12)^(12/C12)-1</f>
        <v>0.135229194711582</v>
      </c>
      <c r="R12" s="6" t="n">
        <v>-1343.71</v>
      </c>
      <c r="S12" s="6" t="n">
        <v>92819.61</v>
      </c>
      <c r="T12" s="6" t="n">
        <v>12079.58</v>
      </c>
    </row>
    <row r="13" customFormat="false" ht="15" hidden="false" customHeight="false" outlineLevel="0" collapsed="false">
      <c r="A13" s="9" t="s">
        <v>28</v>
      </c>
      <c r="B13" s="9" t="s">
        <v>23</v>
      </c>
      <c r="C13" s="10" t="n">
        <v>12</v>
      </c>
      <c r="D13" s="11" t="n">
        <f aca="false">SUMIF($B$5:$B$12,"2025",D5:D12)</f>
        <v>1095453.19</v>
      </c>
      <c r="E13" s="11" t="n">
        <f aca="false">SUMIF($B$5:$B$12,"2025",E5:E12)</f>
        <v>20600</v>
      </c>
      <c r="F13" s="11" t="n">
        <f aca="false">SUMIF($B$5:$B$12,"2025",F5:F12)</f>
        <v>-19749.51</v>
      </c>
      <c r="G13" s="11" t="n">
        <f aca="false">SUMIF($B$5:$B$12,"2025",G5:G12)</f>
        <v>11146.86</v>
      </c>
      <c r="H13" s="11" t="n">
        <f aca="false">SUMIF($B$5:$B$12,"2025",H5:H12)</f>
        <v>0</v>
      </c>
      <c r="I13" s="11" t="n">
        <f aca="false">SUMIF($B$5:$B$12,"2025",I5:I12)</f>
        <v>12000</v>
      </c>
      <c r="J13" s="11" t="n">
        <f aca="false">SUMIF($B$5:$B$12,"2025",J5:J12)</f>
        <v>58815.54</v>
      </c>
      <c r="K13" s="11" t="n">
        <f aca="false">SUMIF($B$5:$B$12,"2025",K5:K12)</f>
        <v>54643.24</v>
      </c>
      <c r="L13" s="11" t="n">
        <f aca="false">SUMIF($B$5:$B$12,"2025",L5:L12)</f>
        <v>1209762.46</v>
      </c>
      <c r="M13" s="11" t="n">
        <f aca="false">D13+E13+F13+J13+K13-L13</f>
        <v>0</v>
      </c>
      <c r="N13" s="11" t="n">
        <f aca="false">J13+K13</f>
        <v>113458.78</v>
      </c>
      <c r="O13" s="12" t="n">
        <f aca="false">N13/(D13+0.5*(I13-G13))</f>
        <v>0.103532142978898</v>
      </c>
      <c r="P13" s="12" t="n">
        <f aca="false">(N13-G13)/(D13+0.5*I13)</f>
        <v>0.0928881235524862</v>
      </c>
      <c r="Q13" s="12" t="n">
        <f aca="false">(1+O13)^(12/C13)-1</f>
        <v>0.103532142978898</v>
      </c>
      <c r="R13" s="11" t="n">
        <f aca="false">SUMIF($B$5:$B$12,"2025",R5:R12)</f>
        <v>-223.36</v>
      </c>
      <c r="S13" s="11" t="n">
        <f aca="false">SUMIF($B$5:$B$12,"2025",S5:S12)</f>
        <v>259031.54</v>
      </c>
      <c r="T13" s="11" t="n">
        <f aca="false">SUMIF($B$5:$B$12,"2025",T5:T12)</f>
        <v>26942.06</v>
      </c>
    </row>
    <row r="14" customFormat="false" ht="15" hidden="false" customHeight="false" outlineLevel="0" collapsed="false">
      <c r="A14" s="9" t="s">
        <v>28</v>
      </c>
      <c r="B14" s="9" t="s">
        <v>24</v>
      </c>
      <c r="C14" s="10" t="n">
        <v>8</v>
      </c>
      <c r="D14" s="11" t="n">
        <f aca="false">SUMIF($B$5:$B$12,"2026 YTD",D5:D12)</f>
        <v>1209762.46</v>
      </c>
      <c r="E14" s="11" t="n">
        <f aca="false">SUMIF($B$5:$B$12,"2026 YTD",E5:E12)</f>
        <v>46100</v>
      </c>
      <c r="F14" s="11" t="n">
        <f aca="false">SUMIF($B$5:$B$12,"2026 YTD",F5:F12)</f>
        <v>-77134.88</v>
      </c>
      <c r="G14" s="11" t="n">
        <f aca="false">SUMIF($B$5:$B$12,"2026 YTD",G5:G12)</f>
        <v>9034.88</v>
      </c>
      <c r="H14" s="11" t="n">
        <f aca="false">SUMIF($B$5:$B$12,"2026 YTD",H5:H12)</f>
        <v>0</v>
      </c>
      <c r="I14" s="11" t="n">
        <f aca="false">SUMIF($B$5:$B$12,"2026 YTD",I5:I12)</f>
        <v>-22000</v>
      </c>
      <c r="J14" s="11" t="n">
        <f aca="false">SUMIF($B$5:$B$12,"2026 YTD",J5:J12)</f>
        <v>20897.46</v>
      </c>
      <c r="K14" s="11" t="n">
        <f aca="false">SUMIF($B$5:$B$12,"2026 YTD",K5:K12)</f>
        <v>96660.99</v>
      </c>
      <c r="L14" s="11" t="n">
        <f aca="false">SUMIF($B$5:$B$12,"2026 YTD",L5:L12)</f>
        <v>1296286.03</v>
      </c>
      <c r="M14" s="11" t="n">
        <f aca="false">D14+E14+F14+J14+K14-L14</f>
        <v>0</v>
      </c>
      <c r="N14" s="11" t="n">
        <f aca="false">J14+K14</f>
        <v>117558.45</v>
      </c>
      <c r="O14" s="12" t="n">
        <f aca="false">N14/(D14+0.5*(I14-G14))</f>
        <v>0.0984374630258035</v>
      </c>
      <c r="P14" s="12" t="n">
        <f aca="false">(N14-G14)/(D14+0.5*I14)</f>
        <v>0.0905296700732521</v>
      </c>
      <c r="Q14" s="12" t="n">
        <f aca="false">(1+O14)^(12/C14)-1</f>
        <v>0.151232402250139</v>
      </c>
      <c r="R14" s="11" t="n">
        <f aca="false">SUMIF($B$5:$B$12,"2026 YTD",R5:R12)</f>
        <v>11651.2</v>
      </c>
      <c r="S14" s="11" t="n">
        <f aca="false">SUMIF($B$5:$B$12,"2026 YTD",S5:S12)</f>
        <v>343790.62</v>
      </c>
      <c r="T14" s="11" t="n">
        <f aca="false">SUMIF($B$5:$B$12,"2026 YTD",T5:T12)</f>
        <v>23484.98</v>
      </c>
    </row>
    <row r="15" customFormat="false" ht="15" hidden="false" customHeight="false" outlineLevel="0" collapsed="false">
      <c r="A15" s="9" t="s">
        <v>29</v>
      </c>
      <c r="B15" s="9" t="s">
        <v>30</v>
      </c>
      <c r="C15" s="10" t="n">
        <v>20</v>
      </c>
      <c r="D15" s="11" t="n">
        <f aca="false">D13</f>
        <v>1095453.19</v>
      </c>
      <c r="E15" s="11" t="n">
        <f aca="false">E13+E14</f>
        <v>66700</v>
      </c>
      <c r="F15" s="11" t="n">
        <f aca="false">F13+F14</f>
        <v>-96884.39</v>
      </c>
      <c r="G15" s="11" t="n">
        <f aca="false">G13+G14</f>
        <v>20181.74</v>
      </c>
      <c r="H15" s="11" t="n">
        <f aca="false">H13+H14</f>
        <v>0</v>
      </c>
      <c r="I15" s="11" t="n">
        <f aca="false">I13+I14</f>
        <v>-10000</v>
      </c>
      <c r="J15" s="11" t="n">
        <f aca="false">J13+J14</f>
        <v>79713</v>
      </c>
      <c r="K15" s="11" t="n">
        <f aca="false">K13+K14</f>
        <v>151304.23</v>
      </c>
      <c r="L15" s="11" t="n">
        <f aca="false">L14</f>
        <v>1296286.03</v>
      </c>
      <c r="M15" s="11" t="n">
        <f aca="false">D15+E15+F15+J15+K15-L15</f>
        <v>0</v>
      </c>
      <c r="N15" s="11" t="n">
        <f aca="false">J15+K15</f>
        <v>231017.23</v>
      </c>
      <c r="O15" s="12" t="n">
        <f aca="false">N15/(D15+0.5*(I15-G15))</f>
        <v>0.213833105545554</v>
      </c>
      <c r="P15" s="12" t="n">
        <f aca="false">(N15-G15)/(D15+0.5*I15)</f>
        <v>0.193346667177891</v>
      </c>
      <c r="Q15" s="12" t="n">
        <f aca="false">(1+O15)^(12/C15)-1</f>
        <v>0.123299037717972</v>
      </c>
      <c r="R15" s="11" t="n">
        <f aca="false">R13+R14</f>
        <v>11427.84</v>
      </c>
      <c r="S15" s="11" t="n">
        <f aca="false">S14</f>
        <v>343790.62</v>
      </c>
      <c r="T15" s="11" t="n">
        <f aca="false">T14</f>
        <v>23484.98</v>
      </c>
    </row>
    <row r="17" customFormat="false" ht="15" hidden="false" customHeight="false" outlineLevel="0" collapsed="false">
      <c r="A17" s="13" t="s">
        <v>31</v>
      </c>
    </row>
    <row r="18" customFormat="false" ht="15" hidden="false" customHeight="false" outlineLevel="0" collapsed="false">
      <c r="A18" s="2" t="s">
        <v>32</v>
      </c>
    </row>
    <row r="19" customFormat="false" ht="15" hidden="false" customHeight="false" outlineLevel="0" collapsed="false">
      <c r="A19" s="2" t="s">
        <v>33</v>
      </c>
    </row>
    <row r="20" customFormat="false" ht="15" hidden="false" customHeight="false" outlineLevel="0" collapsed="false">
      <c r="A20" s="2" t="s">
        <v>34</v>
      </c>
    </row>
    <row r="21" customFormat="false" ht="15" hidden="false" customHeight="false" outlineLevel="0" collapsed="false">
      <c r="A21" s="2" t="s">
        <v>35</v>
      </c>
    </row>
    <row r="22" customFormat="false" ht="15" hidden="false" customHeight="false" outlineLevel="0" collapsed="false">
      <c r="A22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3" min="11" style="0" width="13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8" min="16" style="0" width="13"/>
    <col collapsed="false" customWidth="true" hidden="false" outlineLevel="0" max="19" min="19" style="0" width="10"/>
    <col collapsed="false" customWidth="true" hidden="false" outlineLevel="0" max="21" min="20" style="0" width="11"/>
    <col collapsed="false" customWidth="true" hidden="false" outlineLevel="0" max="22" min="22" style="0" width="12"/>
    <col collapsed="false" customWidth="true" hidden="false" outlineLevel="0" max="23" min="23" style="0" width="1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3" t="s">
        <v>2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21</v>
      </c>
      <c r="W4" s="3" t="s">
        <v>59</v>
      </c>
    </row>
    <row r="5" customFormat="false" ht="1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  <c r="I5" s="14"/>
      <c r="J5" s="15"/>
      <c r="K5" s="6" t="n">
        <v>0</v>
      </c>
      <c r="L5" s="6" t="n">
        <v>0</v>
      </c>
      <c r="M5" s="6" t="n">
        <v>0</v>
      </c>
      <c r="N5" s="14" t="n">
        <v>951.73</v>
      </c>
      <c r="O5" s="15" t="n">
        <v>81.45</v>
      </c>
      <c r="P5" s="6" t="n">
        <v>77518.38</v>
      </c>
      <c r="Q5" s="6" t="n">
        <v>70981.44</v>
      </c>
      <c r="R5" s="6" t="n">
        <v>6536.94</v>
      </c>
      <c r="S5" s="8" t="n">
        <f aca="false">IF(Q5=0,"",R5/Q5)</f>
        <v>0.0920936515235532</v>
      </c>
      <c r="T5" s="8" t="str">
        <f aca="false">IF(OR(J5=0,O5=0,J5="",O5="",B5="CASH"),"",O5/J5-1)</f>
        <v/>
      </c>
      <c r="U5" s="8" t="n">
        <f aca="false">P5/$P$86</f>
        <v>0.059800366744676</v>
      </c>
      <c r="V5" s="6" t="n">
        <v>644.32</v>
      </c>
      <c r="W5" s="8" t="n">
        <f aca="false">IF(P5=0,"",V5/P5)</f>
        <v>0.00831183520605049</v>
      </c>
    </row>
    <row r="6" customFormat="false" ht="15" hidden="false" customHeight="false" outlineLevel="0" collapsed="false">
      <c r="A6" s="4" t="s">
        <v>60</v>
      </c>
      <c r="B6" s="4" t="s">
        <v>68</v>
      </c>
      <c r="C6" s="4" t="s">
        <v>69</v>
      </c>
      <c r="D6" s="4" t="s">
        <v>63</v>
      </c>
      <c r="E6" s="4" t="s">
        <v>70</v>
      </c>
      <c r="F6" s="4" t="s">
        <v>65</v>
      </c>
      <c r="G6" s="4" t="s">
        <v>66</v>
      </c>
      <c r="H6" s="4" t="s">
        <v>71</v>
      </c>
      <c r="I6" s="14" t="n">
        <v>1084.702</v>
      </c>
      <c r="J6" s="15" t="n">
        <v>41.43</v>
      </c>
      <c r="K6" s="6" t="n">
        <v>44939.2</v>
      </c>
      <c r="L6" s="6" t="n">
        <v>34511.62</v>
      </c>
      <c r="M6" s="6" t="n">
        <v>10427.58</v>
      </c>
      <c r="N6" s="14" t="n">
        <v>1121.629</v>
      </c>
      <c r="O6" s="15" t="n">
        <v>54.76</v>
      </c>
      <c r="P6" s="6" t="n">
        <v>61420.4</v>
      </c>
      <c r="Q6" s="6" t="n">
        <v>36037.8</v>
      </c>
      <c r="R6" s="6" t="n">
        <v>25382.6</v>
      </c>
      <c r="S6" s="8" t="n">
        <f aca="false">IF(Q6=0,"",R6/Q6)</f>
        <v>0.704332672915661</v>
      </c>
      <c r="T6" s="8" t="n">
        <f aca="false">IF(OR(J6=0,O6=0,J6="",O6="",B6="CASH"),"",O6/J6-1)</f>
        <v>0.321747525947381</v>
      </c>
      <c r="U6" s="8" t="n">
        <f aca="false">P6/$P$86</f>
        <v>0.0473818266791011</v>
      </c>
      <c r="V6" s="6" t="n">
        <v>0</v>
      </c>
      <c r="W6" s="8" t="n">
        <f aca="false">IF(P6=0,"",V6/P6)</f>
        <v>0</v>
      </c>
    </row>
    <row r="7" customFormat="false" ht="15" hidden="false" customHeight="false" outlineLevel="0" collapsed="false">
      <c r="A7" s="4" t="s">
        <v>60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66</v>
      </c>
      <c r="H7" s="4" t="s">
        <v>71</v>
      </c>
      <c r="I7" s="14" t="n">
        <v>7009.686</v>
      </c>
      <c r="J7" s="15" t="n">
        <v>3.89</v>
      </c>
      <c r="K7" s="6" t="n">
        <v>27267.68</v>
      </c>
      <c r="L7" s="6" t="n">
        <v>29245.16</v>
      </c>
      <c r="M7" s="6" t="n">
        <v>-1977.48</v>
      </c>
      <c r="N7" s="14" t="n">
        <v>6982.959</v>
      </c>
      <c r="O7" s="15" t="n">
        <v>3.82</v>
      </c>
      <c r="P7" s="6" t="n">
        <v>26674.9</v>
      </c>
      <c r="Q7" s="6" t="n">
        <v>29035.5</v>
      </c>
      <c r="R7" s="6" t="n">
        <v>-2360.6</v>
      </c>
      <c r="S7" s="8" t="n">
        <f aca="false">IF(Q7=0,"",R7/Q7)</f>
        <v>-0.0813004770022903</v>
      </c>
      <c r="T7" s="8" t="n">
        <f aca="false">IF(OR(J7=0,O7=0,J7="",O7="",B7="CASH"),"",O7/J7-1)</f>
        <v>-0.0179948586118253</v>
      </c>
      <c r="U7" s="8" t="n">
        <f aca="false">P7/$P$86</f>
        <v>0.0205779429714289</v>
      </c>
      <c r="V7" s="6" t="n">
        <v>1361.68</v>
      </c>
      <c r="W7" s="8" t="n">
        <f aca="false">IF(P7=0,"",V7/P7)</f>
        <v>0.0510472391649078</v>
      </c>
    </row>
    <row r="8" customFormat="false" ht="15" hidden="false" customHeight="false" outlineLevel="0" collapsed="false">
      <c r="A8" s="4" t="s">
        <v>60</v>
      </c>
      <c r="B8" s="4" t="s">
        <v>77</v>
      </c>
      <c r="C8" s="4" t="s">
        <v>78</v>
      </c>
      <c r="D8" s="4" t="s">
        <v>79</v>
      </c>
      <c r="E8" s="4" t="s">
        <v>80</v>
      </c>
      <c r="F8" s="4" t="s">
        <v>76</v>
      </c>
      <c r="G8" s="4" t="s">
        <v>66</v>
      </c>
      <c r="H8" s="4" t="s">
        <v>71</v>
      </c>
      <c r="I8" s="14" t="n">
        <v>1901.779</v>
      </c>
      <c r="J8" s="15" t="n">
        <v>9.78</v>
      </c>
      <c r="K8" s="6" t="n">
        <v>18599.4</v>
      </c>
      <c r="L8" s="6" t="n">
        <v>18223.67</v>
      </c>
      <c r="M8" s="6" t="n">
        <v>375.73</v>
      </c>
      <c r="N8" s="14" t="n">
        <v>2005.762</v>
      </c>
      <c r="O8" s="15" t="n">
        <v>9.61</v>
      </c>
      <c r="P8" s="6" t="n">
        <v>19275.37</v>
      </c>
      <c r="Q8" s="6" t="n">
        <v>19230.48</v>
      </c>
      <c r="R8" s="6" t="n">
        <v>44.89</v>
      </c>
      <c r="S8" s="8" t="n">
        <f aca="false">IF(Q8=0,"",R8/Q8)</f>
        <v>0.00233431510809923</v>
      </c>
      <c r="T8" s="8" t="n">
        <f aca="false">IF(OR(J8=0,O8=0,J8="",O8="",B8="CASH"),"",O8/J8-1)</f>
        <v>-0.0173824130879345</v>
      </c>
      <c r="U8" s="8" t="n">
        <f aca="false">P8/$P$86</f>
        <v>0.0148696889065448</v>
      </c>
      <c r="V8" s="6" t="n">
        <v>1556.47</v>
      </c>
      <c r="W8" s="8" t="n">
        <f aca="false">IF(P8=0,"",V8/P8)</f>
        <v>0.0807491633104838</v>
      </c>
    </row>
    <row r="9" customFormat="false" ht="15" hidden="false" customHeight="false" outlineLevel="0" collapsed="false">
      <c r="A9" s="4" t="s">
        <v>60</v>
      </c>
      <c r="B9" s="4" t="s">
        <v>81</v>
      </c>
      <c r="C9" s="4" t="s">
        <v>82</v>
      </c>
      <c r="D9" s="4" t="s">
        <v>63</v>
      </c>
      <c r="E9" s="4" t="s">
        <v>83</v>
      </c>
      <c r="F9" s="4" t="s">
        <v>65</v>
      </c>
      <c r="G9" s="4" t="s">
        <v>66</v>
      </c>
      <c r="H9" s="4" t="s">
        <v>71</v>
      </c>
      <c r="I9" s="14" t="n">
        <v>296.33</v>
      </c>
      <c r="J9" s="15" t="n">
        <v>36.11</v>
      </c>
      <c r="K9" s="6" t="n">
        <v>10700.49</v>
      </c>
      <c r="L9" s="6" t="n">
        <v>10138.11</v>
      </c>
      <c r="M9" s="6" t="n">
        <v>562.38</v>
      </c>
      <c r="N9" s="14" t="n">
        <v>296.33</v>
      </c>
      <c r="O9" s="15" t="n">
        <v>44.69</v>
      </c>
      <c r="P9" s="6" t="n">
        <v>13243</v>
      </c>
      <c r="Q9" s="6" t="n">
        <v>10137.56</v>
      </c>
      <c r="R9" s="6" t="n">
        <v>3105.44</v>
      </c>
      <c r="S9" s="8" t="n">
        <f aca="false">IF(Q9=0,"",R9/Q9)</f>
        <v>0.306330122830346</v>
      </c>
      <c r="T9" s="8" t="n">
        <f aca="false">IF(OR(J9=0,O9=0,J9="",O9="",B9="CASH"),"",O9/J9-1)</f>
        <v>0.237607310994184</v>
      </c>
      <c r="U9" s="8" t="n">
        <f aca="false">P9/$P$86</f>
        <v>0.0102161094800968</v>
      </c>
      <c r="V9" s="6" t="n">
        <v>0</v>
      </c>
      <c r="W9" s="8" t="n">
        <f aca="false">IF(P9=0,"",V9/P9)</f>
        <v>0</v>
      </c>
    </row>
    <row r="10" customFormat="false" ht="15" hidden="false" customHeight="false" outlineLevel="0" collapsed="false">
      <c r="A10" s="4" t="s">
        <v>60</v>
      </c>
      <c r="B10" s="4" t="s">
        <v>84</v>
      </c>
      <c r="C10" s="4" t="s">
        <v>85</v>
      </c>
      <c r="D10" s="4" t="s">
        <v>86</v>
      </c>
      <c r="E10" s="4" t="s">
        <v>87</v>
      </c>
      <c r="F10" s="4" t="s">
        <v>76</v>
      </c>
      <c r="G10" s="4" t="s">
        <v>66</v>
      </c>
      <c r="H10" s="4" t="s">
        <v>71</v>
      </c>
      <c r="I10" s="14" t="n">
        <v>1477.978</v>
      </c>
      <c r="J10" s="15" t="n">
        <v>6.8</v>
      </c>
      <c r="K10" s="6" t="n">
        <v>10050.25</v>
      </c>
      <c r="L10" s="6" t="n">
        <v>12080.91</v>
      </c>
      <c r="M10" s="6" t="n">
        <v>-2030.66</v>
      </c>
      <c r="N10" s="14" t="n">
        <v>1523.9</v>
      </c>
      <c r="O10" s="15" t="n">
        <v>6.64</v>
      </c>
      <c r="P10" s="6" t="n">
        <v>10118.7</v>
      </c>
      <c r="Q10" s="6" t="n">
        <v>12389.57</v>
      </c>
      <c r="R10" s="6" t="n">
        <v>-2270.87</v>
      </c>
      <c r="S10" s="8" t="n">
        <f aca="false">IF(Q10=0,"",R10/Q10)</f>
        <v>-0.183288846989847</v>
      </c>
      <c r="T10" s="8" t="n">
        <f aca="false">IF(OR(J10=0,O10=0,J10="",O10="",B10="CASH"),"",O10/J10-1)</f>
        <v>-0.0235294117647059</v>
      </c>
      <c r="U10" s="8" t="n">
        <f aca="false">P10/$P$86</f>
        <v>0.00780591610633959</v>
      </c>
      <c r="V10" s="6" t="n">
        <v>554.7</v>
      </c>
      <c r="W10" s="8" t="n">
        <f aca="false">IF(P10=0,"",V10/P10)</f>
        <v>0.0548192949687213</v>
      </c>
    </row>
    <row r="11" customFormat="false" ht="15" hidden="false" customHeight="false" outlineLevel="0" collapsed="false">
      <c r="A11" s="4" t="s">
        <v>60</v>
      </c>
      <c r="B11" s="4" t="s">
        <v>88</v>
      </c>
      <c r="C11" s="4" t="s">
        <v>89</v>
      </c>
      <c r="D11" s="4" t="s">
        <v>90</v>
      </c>
      <c r="E11" s="4" t="s">
        <v>91</v>
      </c>
      <c r="F11" s="4" t="s">
        <v>90</v>
      </c>
      <c r="G11" s="4" t="s">
        <v>90</v>
      </c>
      <c r="H11" s="4" t="s">
        <v>71</v>
      </c>
      <c r="I11" s="14"/>
      <c r="J11" s="15" t="n">
        <v>1</v>
      </c>
      <c r="K11" s="6" t="n">
        <v>492.35</v>
      </c>
      <c r="L11" s="6" t="n">
        <v>492.35</v>
      </c>
      <c r="M11" s="6" t="n">
        <v>0</v>
      </c>
      <c r="N11" s="14"/>
      <c r="O11" s="15" t="n">
        <v>1</v>
      </c>
      <c r="P11" s="6" t="n">
        <v>1508.26</v>
      </c>
      <c r="Q11" s="6" t="n">
        <v>1508.26</v>
      </c>
      <c r="R11" s="6" t="n">
        <v>0</v>
      </c>
      <c r="S11" s="8" t="n">
        <f aca="false">IF(Q11=0,"",R11/Q11)</f>
        <v>0</v>
      </c>
      <c r="T11" s="8" t="str">
        <f aca="false">IF(OR(J11=0,O11=0,J11="",O11="",B11="CASH"),"",O11/J11-1)</f>
        <v/>
      </c>
      <c r="U11" s="8" t="n">
        <f aca="false">P11/$P$86</f>
        <v>0.00116352407192107</v>
      </c>
      <c r="V11" s="6" t="n">
        <v>0</v>
      </c>
      <c r="W11" s="8" t="n">
        <f aca="false">IF(P11=0,"",V11/P11)</f>
        <v>0</v>
      </c>
    </row>
    <row r="12" customFormat="false" ht="15" hidden="false" customHeight="false" outlineLevel="0" collapsed="false">
      <c r="A12" s="4" t="s">
        <v>60</v>
      </c>
      <c r="B12" s="4" t="s">
        <v>92</v>
      </c>
      <c r="C12" s="4" t="s">
        <v>93</v>
      </c>
      <c r="D12" s="4" t="s">
        <v>63</v>
      </c>
      <c r="E12" s="4" t="s">
        <v>94</v>
      </c>
      <c r="F12" s="4" t="s">
        <v>65</v>
      </c>
      <c r="G12" s="4" t="s">
        <v>66</v>
      </c>
      <c r="H12" s="4" t="s">
        <v>95</v>
      </c>
      <c r="I12" s="14" t="n">
        <v>778.426</v>
      </c>
      <c r="J12" s="15" t="n">
        <v>90.21</v>
      </c>
      <c r="K12" s="6" t="n">
        <v>70221.81</v>
      </c>
      <c r="L12" s="6" t="n">
        <v>58036.13</v>
      </c>
      <c r="M12" s="6" t="n">
        <v>12185.68</v>
      </c>
      <c r="N12" s="14"/>
      <c r="O12" s="15"/>
      <c r="P12" s="6" t="n">
        <v>0</v>
      </c>
      <c r="Q12" s="6" t="n">
        <v>0</v>
      </c>
      <c r="R12" s="6" t="n">
        <v>0</v>
      </c>
      <c r="S12" s="8" t="str">
        <f aca="false">IF(Q12=0,"",R12/Q12)</f>
        <v/>
      </c>
      <c r="T12" s="8" t="str">
        <f aca="false">IF(OR(J12=0,O12=0,J12="",O12="",B12="CASH"),"",O12/J12-1)</f>
        <v/>
      </c>
      <c r="U12" s="8" t="n">
        <f aca="false">P12/$P$86</f>
        <v>0</v>
      </c>
      <c r="V12" s="6" t="n">
        <v>0</v>
      </c>
      <c r="W12" s="8" t="str">
        <f aca="false">IF(P12=0,"",V12/P12)</f>
        <v/>
      </c>
    </row>
    <row r="13" customFormat="false" ht="15" hidden="false" customHeight="false" outlineLevel="0" collapsed="false">
      <c r="A13" s="4" t="s">
        <v>96</v>
      </c>
      <c r="B13" s="4" t="s">
        <v>97</v>
      </c>
      <c r="C13" s="4" t="s">
        <v>98</v>
      </c>
      <c r="D13" s="4" t="s">
        <v>63</v>
      </c>
      <c r="E13" s="4" t="s">
        <v>99</v>
      </c>
      <c r="F13" s="4" t="s">
        <v>65</v>
      </c>
      <c r="G13" s="4" t="s">
        <v>66</v>
      </c>
      <c r="H13" s="4" t="s">
        <v>71</v>
      </c>
      <c r="I13" s="14" t="n">
        <v>1246.618</v>
      </c>
      <c r="J13" s="15" t="n">
        <v>56.75</v>
      </c>
      <c r="K13" s="6" t="n">
        <v>70745.57</v>
      </c>
      <c r="L13" s="6" t="n">
        <v>41612.91</v>
      </c>
      <c r="M13" s="6" t="n">
        <v>29132.66</v>
      </c>
      <c r="N13" s="14" t="n">
        <v>1413.982</v>
      </c>
      <c r="O13" s="15" t="n">
        <v>59.72</v>
      </c>
      <c r="P13" s="6" t="n">
        <v>84443.01</v>
      </c>
      <c r="Q13" s="6" t="n">
        <v>51612.91</v>
      </c>
      <c r="R13" s="6" t="n">
        <v>32830.1</v>
      </c>
      <c r="S13" s="8" t="n">
        <f aca="false">IF(Q13=0,"",R13/Q13)</f>
        <v>0.636083104014093</v>
      </c>
      <c r="T13" s="8" t="n">
        <f aca="false">IF(OR(J13=0,O13=0,J13="",O13="",B13="CASH"),"",O13/J13-1)</f>
        <v>0.0523348017621146</v>
      </c>
      <c r="U13" s="8" t="n">
        <f aca="false">P13/$P$86</f>
        <v>0.065142266479567</v>
      </c>
      <c r="V13" s="6" t="n">
        <v>0</v>
      </c>
      <c r="W13" s="8" t="n">
        <f aca="false">IF(P13=0,"",V13/P13)</f>
        <v>0</v>
      </c>
    </row>
    <row r="14" customFormat="false" ht="15" hidden="false" customHeight="false" outlineLevel="0" collapsed="false">
      <c r="A14" s="4" t="s">
        <v>96</v>
      </c>
      <c r="B14" s="4" t="s">
        <v>68</v>
      </c>
      <c r="C14" s="4" t="s">
        <v>69</v>
      </c>
      <c r="D14" s="4" t="s">
        <v>63</v>
      </c>
      <c r="E14" s="4" t="s">
        <v>70</v>
      </c>
      <c r="F14" s="4" t="s">
        <v>65</v>
      </c>
      <c r="G14" s="4" t="s">
        <v>66</v>
      </c>
      <c r="H14" s="4" t="s">
        <v>71</v>
      </c>
      <c r="I14" s="14" t="n">
        <v>1433.361</v>
      </c>
      <c r="J14" s="15" t="n">
        <v>41.43</v>
      </c>
      <c r="K14" s="6" t="n">
        <v>59384.15</v>
      </c>
      <c r="L14" s="6" t="n">
        <v>45604.65</v>
      </c>
      <c r="M14" s="6" t="n">
        <v>13779.5</v>
      </c>
      <c r="N14" s="14" t="n">
        <v>1482.157</v>
      </c>
      <c r="O14" s="15" t="n">
        <v>54.76</v>
      </c>
      <c r="P14" s="6" t="n">
        <v>81162.92</v>
      </c>
      <c r="Q14" s="6" t="n">
        <v>47621.39</v>
      </c>
      <c r="R14" s="6" t="n">
        <v>33541.53</v>
      </c>
      <c r="S14" s="8" t="n">
        <f aca="false">IF(Q14=0,"",R14/Q14)</f>
        <v>0.70433748363918</v>
      </c>
      <c r="T14" s="8" t="n">
        <f aca="false">IF(OR(J14=0,O14=0,J14="",O14="",B14="CASH"),"",O14/J14-1)</f>
        <v>0.321747525947381</v>
      </c>
      <c r="U14" s="8" t="n">
        <f aca="false">P14/$P$86</f>
        <v>0.0626118912968614</v>
      </c>
      <c r="V14" s="6" t="n">
        <v>0</v>
      </c>
      <c r="W14" s="8" t="n">
        <f aca="false">IF(P14=0,"",V14/P14)</f>
        <v>0</v>
      </c>
    </row>
    <row r="15" customFormat="false" ht="15" hidden="false" customHeight="false" outlineLevel="0" collapsed="false">
      <c r="A15" s="4" t="s">
        <v>96</v>
      </c>
      <c r="B15" s="4" t="s">
        <v>100</v>
      </c>
      <c r="C15" s="4" t="s">
        <v>101</v>
      </c>
      <c r="D15" s="4" t="s">
        <v>63</v>
      </c>
      <c r="E15" s="4" t="s">
        <v>102</v>
      </c>
      <c r="F15" s="4" t="s">
        <v>65</v>
      </c>
      <c r="G15" s="4" t="s">
        <v>103</v>
      </c>
      <c r="H15" s="4" t="s">
        <v>71</v>
      </c>
      <c r="I15" s="14" t="n">
        <v>163.563</v>
      </c>
      <c r="J15" s="15" t="n">
        <v>271.86</v>
      </c>
      <c r="K15" s="6" t="n">
        <v>44466.13</v>
      </c>
      <c r="L15" s="6" t="n">
        <v>10866.53</v>
      </c>
      <c r="M15" s="6" t="n">
        <v>33599.6</v>
      </c>
      <c r="N15" s="14" t="n">
        <v>164.012</v>
      </c>
      <c r="O15" s="15" t="n">
        <v>316.85</v>
      </c>
      <c r="P15" s="6" t="n">
        <v>51967.23</v>
      </c>
      <c r="Q15" s="6" t="n">
        <v>10997.5</v>
      </c>
      <c r="R15" s="6" t="n">
        <v>40969.73</v>
      </c>
      <c r="S15" s="8" t="n">
        <f aca="false">IF(Q15=0,"",R15/Q15)</f>
        <v>3.72536758354171</v>
      </c>
      <c r="T15" s="8" t="n">
        <f aca="false">IF(OR(J15=0,O15=0,J15="",O15="",B15="CASH"),"",O15/J15-1)</f>
        <v>0.165489590230266</v>
      </c>
      <c r="U15" s="8" t="n">
        <f aca="false">P15/$P$86</f>
        <v>0.040089323495988</v>
      </c>
      <c r="V15" s="6" t="n">
        <v>177.13</v>
      </c>
      <c r="W15" s="8" t="n">
        <f aca="false">IF(P15=0,"",V15/P15)</f>
        <v>0.00340849416064701</v>
      </c>
    </row>
    <row r="16" customFormat="false" ht="15" hidden="false" customHeight="false" outlineLevel="0" collapsed="false">
      <c r="A16" s="4" t="s">
        <v>96</v>
      </c>
      <c r="B16" s="4" t="s">
        <v>72</v>
      </c>
      <c r="C16" s="4" t="s">
        <v>73</v>
      </c>
      <c r="D16" s="4" t="s">
        <v>74</v>
      </c>
      <c r="E16" s="4" t="s">
        <v>75</v>
      </c>
      <c r="F16" s="4" t="s">
        <v>76</v>
      </c>
      <c r="G16" s="4" t="s">
        <v>66</v>
      </c>
      <c r="H16" s="4" t="s">
        <v>71</v>
      </c>
      <c r="I16" s="14" t="n">
        <v>11401.449</v>
      </c>
      <c r="J16" s="15" t="n">
        <v>3.89</v>
      </c>
      <c r="K16" s="6" t="n">
        <v>44351.64</v>
      </c>
      <c r="L16" s="6" t="n">
        <v>43811.67</v>
      </c>
      <c r="M16" s="6" t="n">
        <v>539.97</v>
      </c>
      <c r="N16" s="14" t="n">
        <v>11785.181</v>
      </c>
      <c r="O16" s="15" t="n">
        <v>3.82</v>
      </c>
      <c r="P16" s="6" t="n">
        <v>45019.39</v>
      </c>
      <c r="Q16" s="6" t="n">
        <v>45292.27</v>
      </c>
      <c r="R16" s="6" t="n">
        <v>-272.88</v>
      </c>
      <c r="S16" s="8" t="n">
        <f aca="false">IF(Q16=0,"",R16/Q16)</f>
        <v>-0.00602486914433743</v>
      </c>
      <c r="T16" s="8" t="n">
        <f aca="false">IF(OR(J16=0,O16=0,J16="",O16="",B16="CASH"),"",O16/J16-1)</f>
        <v>-0.0179948586118253</v>
      </c>
      <c r="U16" s="8" t="n">
        <f aca="false">P16/$P$86</f>
        <v>0.0347295187621516</v>
      </c>
      <c r="V16" s="6" t="n">
        <v>2298.11</v>
      </c>
      <c r="W16" s="8" t="n">
        <f aca="false">IF(P16=0,"",V16/P16)</f>
        <v>0.0510471154762426</v>
      </c>
    </row>
    <row r="17" customFormat="false" ht="15" hidden="false" customHeight="false" outlineLevel="0" collapsed="false">
      <c r="A17" s="4" t="s">
        <v>96</v>
      </c>
      <c r="B17" s="4" t="s">
        <v>61</v>
      </c>
      <c r="C17" s="4" t="s">
        <v>62</v>
      </c>
      <c r="D17" s="4" t="s">
        <v>63</v>
      </c>
      <c r="E17" s="4" t="s">
        <v>64</v>
      </c>
      <c r="F17" s="4" t="s">
        <v>65</v>
      </c>
      <c r="G17" s="4" t="s">
        <v>66</v>
      </c>
      <c r="H17" s="4" t="s">
        <v>67</v>
      </c>
      <c r="I17" s="14"/>
      <c r="J17" s="15"/>
      <c r="K17" s="6" t="n">
        <v>0</v>
      </c>
      <c r="L17" s="6" t="n">
        <v>0</v>
      </c>
      <c r="M17" s="6" t="n">
        <v>0</v>
      </c>
      <c r="N17" s="14" t="n">
        <v>482.878</v>
      </c>
      <c r="O17" s="15" t="n">
        <v>81.45</v>
      </c>
      <c r="P17" s="6" t="n">
        <v>39330.38</v>
      </c>
      <c r="Q17" s="6" t="n">
        <v>36018.61</v>
      </c>
      <c r="R17" s="6" t="n">
        <v>3311.77</v>
      </c>
      <c r="S17" s="8" t="n">
        <f aca="false">IF(Q17=0,"",R17/Q17)</f>
        <v>0.0919460800958171</v>
      </c>
      <c r="T17" s="8" t="str">
        <f aca="false">IF(OR(J17=0,O17=0,J17="",O17="",B17="CASH"),"",O17/J17-1)</f>
        <v/>
      </c>
      <c r="U17" s="8" t="n">
        <f aca="false">P17/$P$86</f>
        <v>0.0303408191477617</v>
      </c>
      <c r="V17" s="6" t="n">
        <v>326.91</v>
      </c>
      <c r="W17" s="8" t="n">
        <f aca="false">IF(P17=0,"",V17/P17)</f>
        <v>0.00831189528298481</v>
      </c>
    </row>
    <row r="18" customFormat="false" ht="15" hidden="false" customHeight="false" outlineLevel="0" collapsed="false">
      <c r="A18" s="4" t="s">
        <v>96</v>
      </c>
      <c r="B18" s="4" t="s">
        <v>104</v>
      </c>
      <c r="C18" s="4" t="s">
        <v>105</v>
      </c>
      <c r="D18" s="4" t="s">
        <v>106</v>
      </c>
      <c r="E18" s="4" t="s">
        <v>107</v>
      </c>
      <c r="F18" s="4" t="s">
        <v>65</v>
      </c>
      <c r="G18" s="4" t="s">
        <v>66</v>
      </c>
      <c r="H18" s="4" t="s">
        <v>71</v>
      </c>
      <c r="I18" s="14" t="n">
        <v>502.458</v>
      </c>
      <c r="J18" s="15" t="n">
        <v>64.56</v>
      </c>
      <c r="K18" s="6" t="n">
        <v>32438.69</v>
      </c>
      <c r="L18" s="6" t="n">
        <v>33158.92</v>
      </c>
      <c r="M18" s="6" t="n">
        <v>-720.23</v>
      </c>
      <c r="N18" s="14" t="n">
        <v>502.458</v>
      </c>
      <c r="O18" s="15" t="n">
        <v>75.68</v>
      </c>
      <c r="P18" s="6" t="n">
        <v>38026.02</v>
      </c>
      <c r="Q18" s="6" t="n">
        <v>33158.92</v>
      </c>
      <c r="R18" s="6" t="n">
        <v>4867.1</v>
      </c>
      <c r="S18" s="8" t="n">
        <f aca="false">IF(Q18=0,"",R18/Q18)</f>
        <v>0.146781016993316</v>
      </c>
      <c r="T18" s="8" t="n">
        <f aca="false">IF(OR(J18=0,O18=0,J18="",O18="",B18="CASH"),"",O18/J18-1)</f>
        <v>0.172242874845105</v>
      </c>
      <c r="U18" s="8" t="n">
        <f aca="false">P18/$P$86</f>
        <v>0.0293345906072906</v>
      </c>
      <c r="V18" s="6" t="n">
        <v>0</v>
      </c>
      <c r="W18" s="8" t="n">
        <f aca="false">IF(P18=0,"",V18/P18)</f>
        <v>0</v>
      </c>
    </row>
    <row r="19" customFormat="false" ht="15" hidden="false" customHeight="false" outlineLevel="0" collapsed="false">
      <c r="A19" s="4" t="s">
        <v>96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112</v>
      </c>
      <c r="G19" s="4" t="s">
        <v>66</v>
      </c>
      <c r="H19" s="4" t="s">
        <v>71</v>
      </c>
      <c r="I19" s="14" t="n">
        <v>590.416</v>
      </c>
      <c r="J19" s="15" t="n">
        <v>43.1</v>
      </c>
      <c r="K19" s="6" t="n">
        <v>25446.93</v>
      </c>
      <c r="L19" s="6" t="n">
        <v>21296.42</v>
      </c>
      <c r="M19" s="6" t="n">
        <v>4150.51</v>
      </c>
      <c r="N19" s="14" t="n">
        <v>593.121</v>
      </c>
      <c r="O19" s="15" t="n">
        <v>47.07</v>
      </c>
      <c r="P19" s="6" t="n">
        <v>27918.21</v>
      </c>
      <c r="Q19" s="6" t="n">
        <v>21418.22</v>
      </c>
      <c r="R19" s="6" t="n">
        <v>6499.99</v>
      </c>
      <c r="S19" s="8" t="n">
        <f aca="false">IF(Q19=0,"",R19/Q19)</f>
        <v>0.303479467481425</v>
      </c>
      <c r="T19" s="8" t="n">
        <f aca="false">IF(OR(J19=0,O19=0,J19="",O19="",B19="CASH"),"",O19/J19-1)</f>
        <v>0.0921113689095128</v>
      </c>
      <c r="U19" s="8" t="n">
        <f aca="false">P19/$P$86</f>
        <v>0.0215370754246268</v>
      </c>
      <c r="V19" s="6" t="n">
        <v>743.77</v>
      </c>
      <c r="W19" s="8" t="n">
        <f aca="false">IF(P19=0,"",V19/P19)</f>
        <v>0.0266410346508605</v>
      </c>
    </row>
    <row r="20" customFormat="false" ht="15" hidden="false" customHeight="false" outlineLevel="0" collapsed="false">
      <c r="A20" s="4" t="s">
        <v>96</v>
      </c>
      <c r="B20" s="4" t="s">
        <v>113</v>
      </c>
      <c r="C20" s="4" t="s">
        <v>114</v>
      </c>
      <c r="D20" s="4" t="s">
        <v>63</v>
      </c>
      <c r="E20" s="4" t="s">
        <v>115</v>
      </c>
      <c r="F20" s="4" t="s">
        <v>65</v>
      </c>
      <c r="G20" s="4" t="s">
        <v>103</v>
      </c>
      <c r="H20" s="4" t="s">
        <v>71</v>
      </c>
      <c r="I20" s="14" t="n">
        <v>85</v>
      </c>
      <c r="J20" s="15" t="n">
        <v>230.82</v>
      </c>
      <c r="K20" s="6" t="n">
        <v>19619.7</v>
      </c>
      <c r="L20" s="6" t="n">
        <v>7806.44</v>
      </c>
      <c r="M20" s="6" t="n">
        <v>11813.26</v>
      </c>
      <c r="N20" s="14" t="n">
        <v>103</v>
      </c>
      <c r="O20" s="15" t="n">
        <v>259.77</v>
      </c>
      <c r="P20" s="6" t="n">
        <v>26756.31</v>
      </c>
      <c r="Q20" s="6" t="n">
        <v>12717.38</v>
      </c>
      <c r="R20" s="6" t="n">
        <v>14038.93</v>
      </c>
      <c r="S20" s="8" t="n">
        <f aca="false">IF(Q20=0,"",R20/Q20)</f>
        <v>1.10391684450728</v>
      </c>
      <c r="T20" s="8" t="n">
        <f aca="false">IF(OR(J20=0,O20=0,J20="",O20="",B20="CASH"),"",O20/J20-1)</f>
        <v>0.125422407070444</v>
      </c>
      <c r="U20" s="8" t="n">
        <f aca="false">P20/$P$86</f>
        <v>0.0206407454688068</v>
      </c>
      <c r="V20" s="6" t="n">
        <v>0</v>
      </c>
      <c r="W20" s="8" t="n">
        <f aca="false">IF(P20=0,"",V20/P20)</f>
        <v>0</v>
      </c>
    </row>
    <row r="21" customFormat="false" ht="15" hidden="false" customHeight="false" outlineLevel="0" collapsed="false">
      <c r="A21" s="4" t="s">
        <v>96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65</v>
      </c>
      <c r="G21" s="4" t="s">
        <v>66</v>
      </c>
      <c r="H21" s="4" t="s">
        <v>67</v>
      </c>
      <c r="I21" s="14"/>
      <c r="J21" s="15"/>
      <c r="K21" s="6" t="n">
        <v>0</v>
      </c>
      <c r="L21" s="6" t="n">
        <v>0</v>
      </c>
      <c r="M21" s="6" t="n">
        <v>0</v>
      </c>
      <c r="N21" s="14" t="n">
        <v>638.896</v>
      </c>
      <c r="O21" s="15" t="n">
        <v>39.23</v>
      </c>
      <c r="P21" s="6" t="n">
        <v>25063.89</v>
      </c>
      <c r="Q21" s="6" t="n">
        <v>25000</v>
      </c>
      <c r="R21" s="6" t="n">
        <v>63.89</v>
      </c>
      <c r="S21" s="8" t="n">
        <f aca="false">IF(Q21=0,"",R21/Q21)</f>
        <v>0.0025556</v>
      </c>
      <c r="T21" s="8" t="str">
        <f aca="false">IF(OR(J21=0,O21=0,J21="",O21="",B21="CASH"),"",O21/J21-1)</f>
        <v/>
      </c>
      <c r="U21" s="8" t="n">
        <f aca="false">P21/$P$86</f>
        <v>0.0193351539860381</v>
      </c>
      <c r="V21" s="6" t="n">
        <v>0</v>
      </c>
      <c r="W21" s="8" t="n">
        <f aca="false">IF(P21=0,"",V21/P21)</f>
        <v>0</v>
      </c>
    </row>
    <row r="22" customFormat="false" ht="15" hidden="false" customHeight="false" outlineLevel="0" collapsed="false">
      <c r="A22" s="4" t="s">
        <v>96</v>
      </c>
      <c r="B22" s="4" t="s">
        <v>120</v>
      </c>
      <c r="C22" s="4" t="s">
        <v>121</v>
      </c>
      <c r="D22" s="4" t="s">
        <v>63</v>
      </c>
      <c r="E22" s="4" t="s">
        <v>122</v>
      </c>
      <c r="F22" s="4" t="s">
        <v>65</v>
      </c>
      <c r="G22" s="4" t="s">
        <v>103</v>
      </c>
      <c r="H22" s="4" t="s">
        <v>71</v>
      </c>
      <c r="I22" s="14" t="n">
        <v>43.285</v>
      </c>
      <c r="J22" s="15" t="n">
        <v>660.09</v>
      </c>
      <c r="K22" s="6" t="n">
        <v>28571.93</v>
      </c>
      <c r="L22" s="6" t="n">
        <v>10582.3</v>
      </c>
      <c r="M22" s="6" t="n">
        <v>17989.63</v>
      </c>
      <c r="N22" s="14" t="n">
        <v>43.366</v>
      </c>
      <c r="O22" s="15" t="n">
        <v>572.34</v>
      </c>
      <c r="P22" s="6" t="n">
        <v>24819.92</v>
      </c>
      <c r="Q22" s="6" t="n">
        <v>10627.77</v>
      </c>
      <c r="R22" s="6" t="n">
        <v>14192.15</v>
      </c>
      <c r="S22" s="8" t="n">
        <f aca="false">IF(Q22=0,"",R22/Q22)</f>
        <v>1.33538362234034</v>
      </c>
      <c r="T22" s="8" t="n">
        <f aca="false">IF(OR(J22=0,O22=0,J22="",O22="",B22="CASH"),"",O22/J22-1)</f>
        <v>-0.132936417761214</v>
      </c>
      <c r="U22" s="8" t="n">
        <f aca="false">P22/$P$86</f>
        <v>0.0191469470669216</v>
      </c>
      <c r="V22" s="6" t="n">
        <v>91.07</v>
      </c>
      <c r="W22" s="8" t="n">
        <f aca="false">IF(P22=0,"",V22/P22)</f>
        <v>0.00366923019896922</v>
      </c>
    </row>
    <row r="23" customFormat="false" ht="15" hidden="false" customHeight="false" outlineLevel="0" collapsed="false">
      <c r="A23" s="4" t="s">
        <v>96</v>
      </c>
      <c r="B23" s="4" t="s">
        <v>123</v>
      </c>
      <c r="C23" s="4" t="s">
        <v>124</v>
      </c>
      <c r="D23" s="4" t="s">
        <v>63</v>
      </c>
      <c r="E23" s="4" t="s">
        <v>102</v>
      </c>
      <c r="F23" s="4" t="s">
        <v>65</v>
      </c>
      <c r="G23" s="4" t="s">
        <v>103</v>
      </c>
      <c r="H23" s="4" t="s">
        <v>71</v>
      </c>
      <c r="I23" s="14" t="n">
        <v>47.415</v>
      </c>
      <c r="J23" s="15" t="n">
        <v>483.62</v>
      </c>
      <c r="K23" s="6" t="n">
        <v>22930.65</v>
      </c>
      <c r="L23" s="6" t="n">
        <v>12394.67</v>
      </c>
      <c r="M23" s="6" t="n">
        <v>10535.98</v>
      </c>
      <c r="N23" s="14" t="n">
        <v>47.631</v>
      </c>
      <c r="O23" s="15" t="n">
        <v>507.29</v>
      </c>
      <c r="P23" s="6" t="n">
        <v>24162.68</v>
      </c>
      <c r="Q23" s="6" t="n">
        <v>12481.06</v>
      </c>
      <c r="R23" s="6" t="n">
        <v>11681.62</v>
      </c>
      <c r="S23" s="8" t="n">
        <f aca="false">IF(Q23=0,"",R23/Q23)</f>
        <v>0.935947748027812</v>
      </c>
      <c r="T23" s="8" t="n">
        <f aca="false">IF(OR(J23=0,O23=0,J23="",O23="",B23="CASH"),"",O23/J23-1)</f>
        <v>0.0489433853025103</v>
      </c>
      <c r="U23" s="8" t="n">
        <f aca="false">P23/$P$86</f>
        <v>0.0186399293372004</v>
      </c>
      <c r="V23" s="6" t="n">
        <v>173.38</v>
      </c>
      <c r="W23" s="8" t="n">
        <f aca="false">IF(P23=0,"",V23/P23)</f>
        <v>0.00717552854236368</v>
      </c>
    </row>
    <row r="24" customFormat="false" ht="15" hidden="false" customHeight="false" outlineLevel="0" collapsed="false">
      <c r="A24" s="4" t="s">
        <v>96</v>
      </c>
      <c r="B24" s="4" t="s">
        <v>125</v>
      </c>
      <c r="C24" s="4" t="s">
        <v>126</v>
      </c>
      <c r="D24" s="4" t="s">
        <v>127</v>
      </c>
      <c r="E24" s="4" t="s">
        <v>128</v>
      </c>
      <c r="F24" s="4" t="s">
        <v>65</v>
      </c>
      <c r="G24" s="4" t="s">
        <v>66</v>
      </c>
      <c r="H24" s="4" t="s">
        <v>71</v>
      </c>
      <c r="I24" s="14" t="n">
        <v>906.458</v>
      </c>
      <c r="J24" s="15" t="n">
        <v>14.95</v>
      </c>
      <c r="K24" s="6" t="n">
        <v>13551.55</v>
      </c>
      <c r="L24" s="6" t="n">
        <v>10962.58</v>
      </c>
      <c r="M24" s="6" t="n">
        <v>2588.97</v>
      </c>
      <c r="N24" s="14" t="n">
        <v>1283.816</v>
      </c>
      <c r="O24" s="15" t="n">
        <v>16.79</v>
      </c>
      <c r="P24" s="6" t="n">
        <v>21555.27</v>
      </c>
      <c r="Q24" s="6" t="n">
        <v>16962.58</v>
      </c>
      <c r="R24" s="6" t="n">
        <v>4592.69</v>
      </c>
      <c r="S24" s="8" t="n">
        <f aca="false">IF(Q24=0,"",R24/Q24)</f>
        <v>0.2707542130973</v>
      </c>
      <c r="T24" s="8" t="n">
        <f aca="false">IF(OR(J24=0,O24=0,J24="",O24="",B24="CASH"),"",O24/J24-1)</f>
        <v>0.123076923076923</v>
      </c>
      <c r="U24" s="8" t="n">
        <f aca="false">P24/$P$86</f>
        <v>0.0166284828356902</v>
      </c>
      <c r="V24" s="6" t="n">
        <v>363.32</v>
      </c>
      <c r="W24" s="8" t="n">
        <f aca="false">IF(P24=0,"",V24/P24)</f>
        <v>0.0168552748353419</v>
      </c>
    </row>
    <row r="25" customFormat="false" ht="15" hidden="false" customHeight="false" outlineLevel="0" collapsed="false">
      <c r="A25" s="4" t="s">
        <v>96</v>
      </c>
      <c r="B25" s="4" t="s">
        <v>129</v>
      </c>
      <c r="C25" s="4" t="s">
        <v>130</v>
      </c>
      <c r="D25" s="4" t="s">
        <v>106</v>
      </c>
      <c r="E25" s="4" t="s">
        <v>115</v>
      </c>
      <c r="F25" s="4" t="s">
        <v>65</v>
      </c>
      <c r="G25" s="4" t="s">
        <v>103</v>
      </c>
      <c r="H25" s="4" t="s">
        <v>71</v>
      </c>
      <c r="I25" s="14" t="n">
        <v>60.487</v>
      </c>
      <c r="J25" s="15" t="n">
        <v>283.31</v>
      </c>
      <c r="K25" s="6" t="n">
        <v>17136.69</v>
      </c>
      <c r="L25" s="6" t="n">
        <v>5104.58</v>
      </c>
      <c r="M25" s="6" t="n">
        <v>12032.11</v>
      </c>
      <c r="N25" s="14" t="n">
        <v>60.73</v>
      </c>
      <c r="O25" s="15" t="n">
        <v>317.12</v>
      </c>
      <c r="P25" s="6" t="n">
        <v>19258.67</v>
      </c>
      <c r="Q25" s="6" t="n">
        <v>5162.7</v>
      </c>
      <c r="R25" s="6" t="n">
        <v>14095.97</v>
      </c>
      <c r="S25" s="8" t="n">
        <f aca="false">IF(Q25=0,"",R25/Q25)</f>
        <v>2.73034846107657</v>
      </c>
      <c r="T25" s="8" t="n">
        <f aca="false">IF(OR(J25=0,O25=0,J25="",O25="",B25="CASH"),"",O25/J25-1)</f>
        <v>0.119339239702093</v>
      </c>
      <c r="U25" s="8" t="n">
        <f aca="false">P25/$P$86</f>
        <v>0.0148568059473726</v>
      </c>
      <c r="V25" s="6" t="n">
        <v>116.6</v>
      </c>
      <c r="W25" s="8" t="n">
        <f aca="false">IF(P25=0,"",V25/P25)</f>
        <v>0.00605441601107449</v>
      </c>
    </row>
    <row r="26" customFormat="false" ht="15" hidden="false" customHeight="false" outlineLevel="0" collapsed="false">
      <c r="A26" s="4" t="s">
        <v>96</v>
      </c>
      <c r="B26" s="4" t="s">
        <v>131</v>
      </c>
      <c r="C26" s="4" t="s">
        <v>132</v>
      </c>
      <c r="D26" s="4" t="s">
        <v>63</v>
      </c>
      <c r="E26" s="4" t="s">
        <v>133</v>
      </c>
      <c r="F26" s="4" t="s">
        <v>65</v>
      </c>
      <c r="G26" s="4" t="s">
        <v>103</v>
      </c>
      <c r="H26" s="4" t="s">
        <v>71</v>
      </c>
      <c r="I26" s="14" t="n">
        <v>188.448</v>
      </c>
      <c r="J26" s="15" t="n">
        <v>69.91</v>
      </c>
      <c r="K26" s="6" t="n">
        <v>13174.4</v>
      </c>
      <c r="L26" s="6" t="n">
        <v>9920.69</v>
      </c>
      <c r="M26" s="6" t="n">
        <v>3253.71</v>
      </c>
      <c r="N26" s="14" t="n">
        <v>190.99</v>
      </c>
      <c r="O26" s="15" t="n">
        <v>88.67</v>
      </c>
      <c r="P26" s="6" t="n">
        <v>16935.1</v>
      </c>
      <c r="Q26" s="6" t="n">
        <v>10121.14</v>
      </c>
      <c r="R26" s="6" t="n">
        <v>6813.96</v>
      </c>
      <c r="S26" s="8" t="n">
        <f aca="false">IF(Q26=0,"",R26/Q26)</f>
        <v>0.673240366203807</v>
      </c>
      <c r="T26" s="8" t="n">
        <f aca="false">IF(OR(J26=0,O26=0,J26="",O26="",B26="CASH"),"",O26/J26-1)</f>
        <v>0.268345015019311</v>
      </c>
      <c r="U26" s="8" t="n">
        <f aca="false">P26/$P$86</f>
        <v>0.0130643234657092</v>
      </c>
      <c r="V26" s="6" t="n">
        <v>404.9</v>
      </c>
      <c r="W26" s="8" t="n">
        <f aca="false">IF(P26=0,"",V26/P26)</f>
        <v>0.0239089228879664</v>
      </c>
    </row>
    <row r="27" customFormat="false" ht="15" hidden="false" customHeight="false" outlineLevel="0" collapsed="false">
      <c r="A27" s="4" t="s">
        <v>96</v>
      </c>
      <c r="B27" s="4" t="s">
        <v>134</v>
      </c>
      <c r="C27" s="4" t="s">
        <v>135</v>
      </c>
      <c r="D27" s="4" t="s">
        <v>106</v>
      </c>
      <c r="E27" s="4" t="s">
        <v>136</v>
      </c>
      <c r="F27" s="4" t="s">
        <v>65</v>
      </c>
      <c r="G27" s="4" t="s">
        <v>66</v>
      </c>
      <c r="H27" s="4" t="s">
        <v>71</v>
      </c>
      <c r="I27" s="14" t="n">
        <v>393.634</v>
      </c>
      <c r="J27" s="15" t="n">
        <v>36.06</v>
      </c>
      <c r="K27" s="6" t="n">
        <v>14194.44</v>
      </c>
      <c r="L27" s="6" t="n">
        <v>11520.64</v>
      </c>
      <c r="M27" s="6" t="n">
        <v>2673.8</v>
      </c>
      <c r="N27" s="14" t="n">
        <v>455.095</v>
      </c>
      <c r="O27" s="15" t="n">
        <v>32.95</v>
      </c>
      <c r="P27" s="6" t="n">
        <v>14995.38</v>
      </c>
      <c r="Q27" s="6" t="n">
        <v>13594.32</v>
      </c>
      <c r="R27" s="6" t="n">
        <v>1401.06</v>
      </c>
      <c r="S27" s="8" t="n">
        <f aca="false">IF(Q27=0,"",R27/Q27)</f>
        <v>0.103062161255583</v>
      </c>
      <c r="T27" s="8" t="n">
        <f aca="false">IF(OR(J27=0,O27=0,J27="",O27="",B27="CASH"),"",O27/J27-1)</f>
        <v>-0.0862451469772601</v>
      </c>
      <c r="U27" s="8" t="n">
        <f aca="false">P27/$P$86</f>
        <v>0.0115679561863364</v>
      </c>
      <c r="V27" s="6" t="n">
        <v>0</v>
      </c>
      <c r="W27" s="8" t="n">
        <f aca="false">IF(P27=0,"",V27/P27)</f>
        <v>0</v>
      </c>
    </row>
    <row r="28" customFormat="false" ht="15" hidden="false" customHeight="false" outlineLevel="0" collapsed="false">
      <c r="A28" s="4" t="s">
        <v>96</v>
      </c>
      <c r="B28" s="4" t="s">
        <v>137</v>
      </c>
      <c r="C28" s="4" t="s">
        <v>138</v>
      </c>
      <c r="D28" s="4" t="s">
        <v>118</v>
      </c>
      <c r="E28" s="4" t="s">
        <v>139</v>
      </c>
      <c r="F28" s="4" t="s">
        <v>76</v>
      </c>
      <c r="G28" s="4" t="s">
        <v>66</v>
      </c>
      <c r="H28" s="4" t="s">
        <v>71</v>
      </c>
      <c r="I28" s="14" t="n">
        <v>1787.698</v>
      </c>
      <c r="J28" s="15" t="n">
        <v>7.24</v>
      </c>
      <c r="K28" s="6" t="n">
        <v>12942.93</v>
      </c>
      <c r="L28" s="6" t="n">
        <v>12730.26</v>
      </c>
      <c r="M28" s="6" t="n">
        <v>212.67</v>
      </c>
      <c r="N28" s="14" t="n">
        <v>1864.418</v>
      </c>
      <c r="O28" s="15" t="n">
        <v>7.06</v>
      </c>
      <c r="P28" s="6" t="n">
        <v>13162.79</v>
      </c>
      <c r="Q28" s="6" t="n">
        <v>13280.59</v>
      </c>
      <c r="R28" s="6" t="n">
        <v>-117.8</v>
      </c>
      <c r="S28" s="8" t="n">
        <f aca="false">IF(Q28=0,"",R28/Q28)</f>
        <v>-0.00887008785001269</v>
      </c>
      <c r="T28" s="8" t="n">
        <f aca="false">IF(OR(J28=0,O28=0,J28="",O28="",B28="CASH"),"",O28/J28-1)</f>
        <v>-0.0248618784530388</v>
      </c>
      <c r="U28" s="8" t="n">
        <f aca="false">P28/$P$86</f>
        <v>0.0101542327043361</v>
      </c>
      <c r="V28" s="6" t="n">
        <v>837.12</v>
      </c>
      <c r="W28" s="8" t="n">
        <f aca="false">IF(P28=0,"",V28/P28)</f>
        <v>0.0635974592012788</v>
      </c>
    </row>
    <row r="29" customFormat="false" ht="15" hidden="false" customHeight="false" outlineLevel="0" collapsed="false">
      <c r="A29" s="4" t="s">
        <v>96</v>
      </c>
      <c r="B29" s="4" t="s">
        <v>140</v>
      </c>
      <c r="C29" s="4" t="s">
        <v>141</v>
      </c>
      <c r="D29" s="4" t="s">
        <v>63</v>
      </c>
      <c r="E29" s="4" t="s">
        <v>142</v>
      </c>
      <c r="F29" s="4" t="s">
        <v>65</v>
      </c>
      <c r="G29" s="4" t="s">
        <v>103</v>
      </c>
      <c r="H29" s="4" t="s">
        <v>71</v>
      </c>
      <c r="I29" s="14" t="n">
        <v>32.733</v>
      </c>
      <c r="J29" s="15" t="n">
        <v>322.22</v>
      </c>
      <c r="K29" s="6" t="n">
        <v>10547.36</v>
      </c>
      <c r="L29" s="6" t="n">
        <v>4427.18</v>
      </c>
      <c r="M29" s="6" t="n">
        <v>6120.18</v>
      </c>
      <c r="N29" s="14" t="n">
        <v>33.193</v>
      </c>
      <c r="O29" s="15" t="n">
        <v>356.02</v>
      </c>
      <c r="P29" s="6" t="n">
        <v>11817.3</v>
      </c>
      <c r="Q29" s="6" t="n">
        <v>4575.2</v>
      </c>
      <c r="R29" s="6" t="n">
        <v>7242.1</v>
      </c>
      <c r="S29" s="8" t="n">
        <f aca="false">IF(Q29=0,"",R29/Q29)</f>
        <v>1.58290347962931</v>
      </c>
      <c r="T29" s="8" t="n">
        <f aca="false">IF(OR(J29=0,O29=0,J29="",O29="",B29="CASH"),"",O29/J29-1)</f>
        <v>0.104897275153622</v>
      </c>
      <c r="U29" s="8" t="n">
        <f aca="false">P29/$P$86</f>
        <v>0.00911627505543665</v>
      </c>
      <c r="V29" s="6" t="n">
        <v>199.16</v>
      </c>
      <c r="W29" s="8" t="n">
        <f aca="false">IF(P29=0,"",V29/P29)</f>
        <v>0.0168532575122913</v>
      </c>
    </row>
    <row r="30" customFormat="false" ht="15" hidden="false" customHeight="false" outlineLevel="0" collapsed="false">
      <c r="A30" s="4" t="s">
        <v>96</v>
      </c>
      <c r="B30" s="4" t="s">
        <v>143</v>
      </c>
      <c r="C30" s="4" t="s">
        <v>144</v>
      </c>
      <c r="D30" s="4" t="s">
        <v>127</v>
      </c>
      <c r="E30" s="4" t="s">
        <v>122</v>
      </c>
      <c r="F30" s="4" t="s">
        <v>65</v>
      </c>
      <c r="G30" s="4" t="s">
        <v>103</v>
      </c>
      <c r="H30" s="4" t="s">
        <v>71</v>
      </c>
      <c r="I30" s="14" t="n">
        <v>20</v>
      </c>
      <c r="J30" s="15" t="n">
        <v>580.71</v>
      </c>
      <c r="K30" s="6" t="n">
        <v>11614.2</v>
      </c>
      <c r="L30" s="6" t="n">
        <v>5169.5</v>
      </c>
      <c r="M30" s="6" t="n">
        <v>6444.7</v>
      </c>
      <c r="N30" s="14" t="n">
        <v>20</v>
      </c>
      <c r="O30" s="15" t="n">
        <v>543.62</v>
      </c>
      <c r="P30" s="6" t="n">
        <v>10872.4</v>
      </c>
      <c r="Q30" s="6" t="n">
        <v>5169.5</v>
      </c>
      <c r="R30" s="6" t="n">
        <v>5702.9</v>
      </c>
      <c r="S30" s="8" t="n">
        <f aca="false">IF(Q30=0,"",R30/Q30)</f>
        <v>1.10318212593094</v>
      </c>
      <c r="T30" s="8" t="n">
        <f aca="false">IF(OR(J30=0,O30=0,J30="",O30="",B30="CASH"),"",O30/J30-1)</f>
        <v>-0.0638700900621654</v>
      </c>
      <c r="U30" s="8" t="n">
        <f aca="false">P30/$P$86</f>
        <v>0.0083873464253873</v>
      </c>
      <c r="V30" s="6" t="n">
        <v>0</v>
      </c>
      <c r="W30" s="8" t="n">
        <f aca="false">IF(P30=0,"",V30/P30)</f>
        <v>0</v>
      </c>
    </row>
    <row r="31" customFormat="false" ht="15" hidden="false" customHeight="false" outlineLevel="0" collapsed="false">
      <c r="A31" s="4" t="s">
        <v>96</v>
      </c>
      <c r="B31" s="4" t="s">
        <v>81</v>
      </c>
      <c r="C31" s="4" t="s">
        <v>145</v>
      </c>
      <c r="D31" s="4" t="s">
        <v>63</v>
      </c>
      <c r="E31" s="4" t="s">
        <v>83</v>
      </c>
      <c r="F31" s="4" t="s">
        <v>65</v>
      </c>
      <c r="G31" s="4" t="s">
        <v>66</v>
      </c>
      <c r="H31" s="4" t="s">
        <v>67</v>
      </c>
      <c r="I31" s="14"/>
      <c r="J31" s="15"/>
      <c r="K31" s="6" t="n">
        <v>0</v>
      </c>
      <c r="L31" s="6" t="n">
        <v>0</v>
      </c>
      <c r="M31" s="6" t="n">
        <v>0</v>
      </c>
      <c r="N31" s="14" t="n">
        <v>240</v>
      </c>
      <c r="O31" s="15" t="n">
        <v>44.69</v>
      </c>
      <c r="P31" s="6" t="n">
        <v>10725.6</v>
      </c>
      <c r="Q31" s="6" t="n">
        <v>10034.38</v>
      </c>
      <c r="R31" s="6" t="n">
        <v>691.22</v>
      </c>
      <c r="S31" s="8" t="n">
        <f aca="false">IF(Q31=0,"",R31/Q31)</f>
        <v>0.0688851727759961</v>
      </c>
      <c r="T31" s="8" t="str">
        <f aca="false">IF(OR(J31=0,O31=0,J31="",O31="",B31="CASH"),"",O31/J31-1)</f>
        <v/>
      </c>
      <c r="U31" s="8" t="n">
        <f aca="false">P31/$P$86</f>
        <v>0.00827409981422079</v>
      </c>
      <c r="V31" s="6" t="n">
        <v>0</v>
      </c>
      <c r="W31" s="8" t="n">
        <f aca="false">IF(P31=0,"",V31/P31)</f>
        <v>0</v>
      </c>
    </row>
    <row r="32" customFormat="false" ht="15" hidden="false" customHeight="false" outlineLevel="0" collapsed="false">
      <c r="A32" s="4" t="s">
        <v>96</v>
      </c>
      <c r="B32" s="4" t="s">
        <v>146</v>
      </c>
      <c r="C32" s="4" t="s">
        <v>147</v>
      </c>
      <c r="D32" s="4" t="s">
        <v>63</v>
      </c>
      <c r="E32" s="4" t="s">
        <v>122</v>
      </c>
      <c r="F32" s="4" t="s">
        <v>65</v>
      </c>
      <c r="G32" s="4" t="s">
        <v>103</v>
      </c>
      <c r="H32" s="4" t="s">
        <v>71</v>
      </c>
      <c r="I32" s="14" t="n">
        <v>30.22</v>
      </c>
      <c r="J32" s="15" t="n">
        <v>313.8</v>
      </c>
      <c r="K32" s="6" t="n">
        <v>9483.07</v>
      </c>
      <c r="L32" s="6" t="n">
        <v>3933.6</v>
      </c>
      <c r="M32" s="6" t="n">
        <v>5549.47</v>
      </c>
      <c r="N32" s="14" t="n">
        <v>30.259</v>
      </c>
      <c r="O32" s="15" t="n">
        <v>335.41</v>
      </c>
      <c r="P32" s="6" t="n">
        <v>10149.17</v>
      </c>
      <c r="Q32" s="6" t="n">
        <v>3946.6</v>
      </c>
      <c r="R32" s="6" t="n">
        <v>6202.57</v>
      </c>
      <c r="S32" s="8" t="n">
        <f aca="false">IF(Q32=0,"",R32/Q32)</f>
        <v>1.57162367607561</v>
      </c>
      <c r="T32" s="8" t="n">
        <f aca="false">IF(OR(J32=0,O32=0,J32="",O32="",B32="CASH"),"",O32/J32-1)</f>
        <v>0.0688655194391332</v>
      </c>
      <c r="U32" s="8" t="n">
        <f aca="false">P32/$P$86</f>
        <v>0.00782942172106877</v>
      </c>
      <c r="V32" s="6" t="n">
        <v>26.63</v>
      </c>
      <c r="W32" s="8" t="n">
        <f aca="false">IF(P32=0,"",V32/P32)</f>
        <v>0.00262385988213815</v>
      </c>
    </row>
    <row r="33" customFormat="false" ht="15" hidden="false" customHeight="false" outlineLevel="0" collapsed="false">
      <c r="A33" s="4" t="s">
        <v>96</v>
      </c>
      <c r="B33" s="4" t="s">
        <v>148</v>
      </c>
      <c r="C33" s="4" t="s">
        <v>149</v>
      </c>
      <c r="D33" s="4" t="s">
        <v>63</v>
      </c>
      <c r="E33" s="4" t="s">
        <v>150</v>
      </c>
      <c r="F33" s="4" t="s">
        <v>65</v>
      </c>
      <c r="G33" s="4" t="s">
        <v>103</v>
      </c>
      <c r="H33" s="4" t="s">
        <v>67</v>
      </c>
      <c r="I33" s="14"/>
      <c r="J33" s="15"/>
      <c r="K33" s="6" t="n">
        <v>0</v>
      </c>
      <c r="L33" s="6" t="n">
        <v>0</v>
      </c>
      <c r="M33" s="6" t="n">
        <v>0</v>
      </c>
      <c r="N33" s="14" t="n">
        <v>154.447</v>
      </c>
      <c r="O33" s="15" t="n">
        <v>65.48</v>
      </c>
      <c r="P33" s="6" t="n">
        <v>10113.19</v>
      </c>
      <c r="Q33" s="6" t="n">
        <v>10040.19</v>
      </c>
      <c r="R33" s="6" t="n">
        <v>73</v>
      </c>
      <c r="S33" s="8" t="n">
        <f aca="false">IF(Q33=0,"",R33/Q33)</f>
        <v>0.00727077874024296</v>
      </c>
      <c r="T33" s="8" t="str">
        <f aca="false">IF(OR(J33=0,O33=0,J33="",O33="",B33="CASH"),"",O33/J33-1)</f>
        <v/>
      </c>
      <c r="U33" s="8" t="n">
        <f aca="false">P33/$P$86</f>
        <v>0.00780166550124744</v>
      </c>
      <c r="V33" s="6" t="n">
        <v>51.43</v>
      </c>
      <c r="W33" s="8" t="n">
        <f aca="false">IF(P33=0,"",V33/P33)</f>
        <v>0.00508543792809193</v>
      </c>
    </row>
    <row r="34" customFormat="false" ht="15" hidden="false" customHeight="false" outlineLevel="0" collapsed="false">
      <c r="A34" s="4" t="s">
        <v>96</v>
      </c>
      <c r="B34" s="4" t="s">
        <v>151</v>
      </c>
      <c r="C34" s="4" t="s">
        <v>152</v>
      </c>
      <c r="D34" s="4" t="s">
        <v>63</v>
      </c>
      <c r="E34" s="4" t="s">
        <v>102</v>
      </c>
      <c r="F34" s="4" t="s">
        <v>65</v>
      </c>
      <c r="G34" s="4" t="s">
        <v>103</v>
      </c>
      <c r="H34" s="4" t="s">
        <v>71</v>
      </c>
      <c r="I34" s="14" t="n">
        <v>32.323</v>
      </c>
      <c r="J34" s="15" t="n">
        <v>264.91</v>
      </c>
      <c r="K34" s="6" t="n">
        <v>8562.55</v>
      </c>
      <c r="L34" s="6" t="n">
        <v>7871.38</v>
      </c>
      <c r="M34" s="6" t="n">
        <v>691.17</v>
      </c>
      <c r="N34" s="14" t="n">
        <v>32.542</v>
      </c>
      <c r="O34" s="15" t="n">
        <v>257.54</v>
      </c>
      <c r="P34" s="6" t="n">
        <v>8380.76</v>
      </c>
      <c r="Q34" s="6" t="n">
        <v>7913.35</v>
      </c>
      <c r="R34" s="6" t="n">
        <v>467.41</v>
      </c>
      <c r="S34" s="8" t="n">
        <f aca="false">IF(Q34=0,"",R34/Q34)</f>
        <v>0.0590660087068056</v>
      </c>
      <c r="T34" s="8" t="n">
        <f aca="false">IF(OR(J34=0,O34=0,J34="",O34="",B34="CASH"),"",O34/J34-1)</f>
        <v>-0.0278207693178816</v>
      </c>
      <c r="U34" s="8" t="n">
        <f aca="false">P34/$P$86</f>
        <v>0.00646520891689313</v>
      </c>
      <c r="V34" s="6" t="n">
        <v>57.27</v>
      </c>
      <c r="W34" s="8" t="n">
        <f aca="false">IF(P34=0,"",V34/P34)</f>
        <v>0.00683350913282328</v>
      </c>
    </row>
    <row r="35" customFormat="false" ht="15" hidden="false" customHeight="false" outlineLevel="0" collapsed="false">
      <c r="A35" s="4" t="s">
        <v>96</v>
      </c>
      <c r="B35" s="4" t="s">
        <v>153</v>
      </c>
      <c r="C35" s="4" t="s">
        <v>154</v>
      </c>
      <c r="D35" s="4" t="s">
        <v>63</v>
      </c>
      <c r="E35" s="4" t="s">
        <v>122</v>
      </c>
      <c r="F35" s="4" t="s">
        <v>65</v>
      </c>
      <c r="G35" s="4" t="s">
        <v>103</v>
      </c>
      <c r="H35" s="4" t="s">
        <v>71</v>
      </c>
      <c r="I35" s="14" t="n">
        <v>100</v>
      </c>
      <c r="J35" s="15" t="n">
        <v>93.76</v>
      </c>
      <c r="K35" s="6" t="n">
        <v>9376</v>
      </c>
      <c r="L35" s="6" t="n">
        <v>3149.7</v>
      </c>
      <c r="M35" s="6" t="n">
        <v>6226.3</v>
      </c>
      <c r="N35" s="14" t="n">
        <v>100</v>
      </c>
      <c r="O35" s="15" t="n">
        <v>81.05</v>
      </c>
      <c r="P35" s="6" t="n">
        <v>8105</v>
      </c>
      <c r="Q35" s="6" t="n">
        <v>3149.7</v>
      </c>
      <c r="R35" s="6" t="n">
        <v>4955.3</v>
      </c>
      <c r="S35" s="8" t="n">
        <f aca="false">IF(Q35=0,"",R35/Q35)</f>
        <v>1.57326094548687</v>
      </c>
      <c r="T35" s="8" t="n">
        <f aca="false">IF(OR(J35=0,O35=0,J35="",O35="",B35="CASH"),"",O35/J35-1)</f>
        <v>-0.135558873720137</v>
      </c>
      <c r="U35" s="8" t="n">
        <f aca="false">P35/$P$86</f>
        <v>0.00625247808926862</v>
      </c>
      <c r="V35" s="6" t="n">
        <v>0</v>
      </c>
      <c r="W35" s="8" t="n">
        <f aca="false">IF(P35=0,"",V35/P35)</f>
        <v>0</v>
      </c>
    </row>
    <row r="36" customFormat="false" ht="15" hidden="false" customHeight="false" outlineLevel="0" collapsed="false">
      <c r="A36" s="4" t="s">
        <v>96</v>
      </c>
      <c r="B36" s="4" t="s">
        <v>155</v>
      </c>
      <c r="C36" s="4" t="s">
        <v>156</v>
      </c>
      <c r="D36" s="4" t="s">
        <v>63</v>
      </c>
      <c r="E36" s="4" t="s">
        <v>157</v>
      </c>
      <c r="F36" s="4" t="s">
        <v>65</v>
      </c>
      <c r="G36" s="4" t="s">
        <v>103</v>
      </c>
      <c r="H36" s="4" t="s">
        <v>71</v>
      </c>
      <c r="I36" s="14" t="n">
        <v>28.179</v>
      </c>
      <c r="J36" s="15" t="n">
        <v>206.95</v>
      </c>
      <c r="K36" s="6" t="n">
        <v>5831.73</v>
      </c>
      <c r="L36" s="6" t="n">
        <v>5044.48</v>
      </c>
      <c r="M36" s="6" t="n">
        <v>787.25</v>
      </c>
      <c r="N36" s="14" t="n">
        <v>28.492</v>
      </c>
      <c r="O36" s="15" t="n">
        <v>265.85</v>
      </c>
      <c r="P36" s="6" t="n">
        <v>7574.57</v>
      </c>
      <c r="Q36" s="6" t="n">
        <v>5119.07</v>
      </c>
      <c r="R36" s="6" t="n">
        <v>2455.5</v>
      </c>
      <c r="S36" s="8" t="n">
        <f aca="false">IF(Q36=0,"",R36/Q36)</f>
        <v>0.479676972575097</v>
      </c>
      <c r="T36" s="8" t="n">
        <f aca="false">IF(OR(J36=0,O36=0,J36="",O36="",B36="CASH"),"",O36/J36-1)</f>
        <v>0.284609809132641</v>
      </c>
      <c r="U36" s="8" t="n">
        <f aca="false">P36/$P$86</f>
        <v>0.00584328599144126</v>
      </c>
      <c r="V36" s="6" t="n">
        <v>152.72</v>
      </c>
      <c r="W36" s="8" t="n">
        <f aca="false">IF(P36=0,"",V36/P36)</f>
        <v>0.0201622006265702</v>
      </c>
    </row>
    <row r="37" customFormat="false" ht="15" hidden="false" customHeight="false" outlineLevel="0" collapsed="false">
      <c r="A37" s="4" t="s">
        <v>96</v>
      </c>
      <c r="B37" s="4" t="s">
        <v>158</v>
      </c>
      <c r="C37" s="4" t="s">
        <v>159</v>
      </c>
      <c r="D37" s="4" t="s">
        <v>106</v>
      </c>
      <c r="E37" s="4" t="s">
        <v>160</v>
      </c>
      <c r="F37" s="4" t="s">
        <v>65</v>
      </c>
      <c r="G37" s="4" t="s">
        <v>103</v>
      </c>
      <c r="H37" s="4" t="s">
        <v>71</v>
      </c>
      <c r="I37" s="14" t="n">
        <v>89.433</v>
      </c>
      <c r="J37" s="15" t="n">
        <v>60.11</v>
      </c>
      <c r="K37" s="6" t="n">
        <v>5375.84</v>
      </c>
      <c r="L37" s="6" t="n">
        <v>5079.54</v>
      </c>
      <c r="M37" s="6" t="n">
        <v>296.3</v>
      </c>
      <c r="N37" s="14" t="n">
        <v>90.69</v>
      </c>
      <c r="O37" s="15" t="n">
        <v>75.05</v>
      </c>
      <c r="P37" s="6" t="n">
        <v>6806.25</v>
      </c>
      <c r="Q37" s="6" t="n">
        <v>5157.34</v>
      </c>
      <c r="R37" s="6" t="n">
        <v>1648.91</v>
      </c>
      <c r="S37" s="8" t="n">
        <f aca="false">IF(Q37=0,"",R37/Q37)</f>
        <v>0.319721018974898</v>
      </c>
      <c r="T37" s="8" t="n">
        <f aca="false">IF(OR(J37=0,O37=0,J37="",O37="",B37="CASH"),"",O37/J37-1)</f>
        <v>0.248544335385127</v>
      </c>
      <c r="U37" s="8" t="n">
        <f aca="false">P37/$P$86</f>
        <v>0.00525057729735774</v>
      </c>
      <c r="V37" s="6" t="n">
        <v>190.45</v>
      </c>
      <c r="W37" s="8" t="n">
        <f aca="false">IF(P37=0,"",V37/P37)</f>
        <v>0.0279816345270891</v>
      </c>
    </row>
    <row r="38" customFormat="false" ht="15" hidden="false" customHeight="false" outlineLevel="0" collapsed="false">
      <c r="A38" s="4" t="s">
        <v>96</v>
      </c>
      <c r="B38" s="4" t="s">
        <v>161</v>
      </c>
      <c r="C38" s="4" t="s">
        <v>162</v>
      </c>
      <c r="D38" s="4" t="s">
        <v>63</v>
      </c>
      <c r="E38" s="4" t="s">
        <v>160</v>
      </c>
      <c r="F38" s="4" t="s">
        <v>65</v>
      </c>
      <c r="G38" s="4" t="s">
        <v>103</v>
      </c>
      <c r="H38" s="4" t="s">
        <v>71</v>
      </c>
      <c r="I38" s="14" t="n">
        <v>32.368</v>
      </c>
      <c r="J38" s="15" t="n">
        <v>152.41</v>
      </c>
      <c r="K38" s="6" t="n">
        <v>4933.15</v>
      </c>
      <c r="L38" s="6" t="n">
        <v>4989.12</v>
      </c>
      <c r="M38" s="6" t="n">
        <v>-55.97</v>
      </c>
      <c r="N38" s="14" t="n">
        <v>32.981</v>
      </c>
      <c r="O38" s="15" t="n">
        <v>206.14</v>
      </c>
      <c r="P38" s="6" t="n">
        <v>6798.79</v>
      </c>
      <c r="Q38" s="6" t="n">
        <v>5104.89</v>
      </c>
      <c r="R38" s="6" t="n">
        <v>1693.9</v>
      </c>
      <c r="S38" s="8" t="n">
        <f aca="false">IF(Q38=0,"",R38/Q38)</f>
        <v>0.331819098942387</v>
      </c>
      <c r="T38" s="8" t="n">
        <f aca="false">IF(OR(J38=0,O38=0,J38="",O38="",B38="CASH"),"",O38/J38-1)</f>
        <v>0.352535922839709</v>
      </c>
      <c r="U38" s="8" t="n">
        <f aca="false">P38/$P$86</f>
        <v>0.0052448223946377</v>
      </c>
      <c r="V38" s="6" t="n">
        <v>234.83</v>
      </c>
      <c r="W38" s="8" t="n">
        <f aca="false">IF(P38=0,"",V38/P38)</f>
        <v>0.0345399696122398</v>
      </c>
    </row>
    <row r="39" customFormat="false" ht="15" hidden="false" customHeight="false" outlineLevel="0" collapsed="false">
      <c r="A39" s="4" t="s">
        <v>96</v>
      </c>
      <c r="B39" s="4" t="s">
        <v>163</v>
      </c>
      <c r="C39" s="4" t="s">
        <v>164</v>
      </c>
      <c r="D39" s="4" t="s">
        <v>63</v>
      </c>
      <c r="E39" s="4" t="s">
        <v>102</v>
      </c>
      <c r="F39" s="4" t="s">
        <v>65</v>
      </c>
      <c r="G39" s="4" t="s">
        <v>103</v>
      </c>
      <c r="H39" s="4" t="s">
        <v>71</v>
      </c>
      <c r="I39" s="14" t="n">
        <v>45</v>
      </c>
      <c r="J39" s="15" t="n">
        <v>153.19</v>
      </c>
      <c r="K39" s="6" t="n">
        <v>6893.55</v>
      </c>
      <c r="L39" s="6" t="n">
        <v>5078.79</v>
      </c>
      <c r="M39" s="6" t="n">
        <v>1814.76</v>
      </c>
      <c r="N39" s="14" t="n">
        <v>45</v>
      </c>
      <c r="O39" s="15" t="n">
        <v>147.99</v>
      </c>
      <c r="P39" s="6" t="n">
        <v>6659.55</v>
      </c>
      <c r="Q39" s="6" t="n">
        <v>5078.79</v>
      </c>
      <c r="R39" s="6" t="n">
        <v>1580.76</v>
      </c>
      <c r="S39" s="8" t="n">
        <f aca="false">IF(Q39=0,"",R39/Q39)</f>
        <v>0.311247364037497</v>
      </c>
      <c r="T39" s="8" t="n">
        <f aca="false">IF(OR(J39=0,O39=0,J39="",O39="",B39="CASH"),"",O39/J39-1)</f>
        <v>-0.033944774463085</v>
      </c>
      <c r="U39" s="8" t="n">
        <f aca="false">P39/$P$86</f>
        <v>0.00513740782965932</v>
      </c>
      <c r="V39" s="6" t="n">
        <v>0</v>
      </c>
      <c r="W39" s="8" t="n">
        <f aca="false">IF(P39=0,"",V39/P39)</f>
        <v>0</v>
      </c>
    </row>
    <row r="40" customFormat="false" ht="15" hidden="false" customHeight="false" outlineLevel="0" collapsed="false">
      <c r="A40" s="4" t="s">
        <v>96</v>
      </c>
      <c r="B40" s="4" t="s">
        <v>165</v>
      </c>
      <c r="C40" s="4" t="s">
        <v>166</v>
      </c>
      <c r="D40" s="4" t="s">
        <v>63</v>
      </c>
      <c r="E40" s="4" t="s">
        <v>133</v>
      </c>
      <c r="F40" s="4" t="s">
        <v>65</v>
      </c>
      <c r="G40" s="4" t="s">
        <v>103</v>
      </c>
      <c r="H40" s="4" t="s">
        <v>71</v>
      </c>
      <c r="I40" s="14" t="n">
        <v>40.982</v>
      </c>
      <c r="J40" s="15" t="n">
        <v>143.52</v>
      </c>
      <c r="K40" s="6" t="n">
        <v>5881.79</v>
      </c>
      <c r="L40" s="6" t="n">
        <v>5779.14</v>
      </c>
      <c r="M40" s="6" t="n">
        <v>102.65</v>
      </c>
      <c r="N40" s="14" t="n">
        <v>42.235</v>
      </c>
      <c r="O40" s="15" t="n">
        <v>140.34</v>
      </c>
      <c r="P40" s="6" t="n">
        <v>5927.26</v>
      </c>
      <c r="Q40" s="6" t="n">
        <v>5958.16</v>
      </c>
      <c r="R40" s="6" t="n">
        <v>-30.9</v>
      </c>
      <c r="S40" s="8" t="n">
        <f aca="false">IF(Q40=0,"",R40/Q40)</f>
        <v>-0.00518616485626435</v>
      </c>
      <c r="T40" s="8" t="n">
        <f aca="false">IF(OR(J40=0,O40=0,J40="",O40="",B40="CASH"),"",O40/J40-1)</f>
        <v>-0.0221571906354515</v>
      </c>
      <c r="U40" s="8" t="n">
        <f aca="false">P40/$P$86</f>
        <v>0.00457249392713119</v>
      </c>
      <c r="V40" s="6" t="n">
        <v>250.03</v>
      </c>
      <c r="W40" s="8" t="n">
        <f aca="false">IF(P40=0,"",V40/P40)</f>
        <v>0.0421830660372584</v>
      </c>
    </row>
    <row r="41" customFormat="false" ht="15" hidden="false" customHeight="false" outlineLevel="0" collapsed="false">
      <c r="A41" s="4" t="s">
        <v>96</v>
      </c>
      <c r="B41" s="4" t="s">
        <v>167</v>
      </c>
      <c r="C41" s="4" t="s">
        <v>168</v>
      </c>
      <c r="D41" s="4" t="s">
        <v>127</v>
      </c>
      <c r="E41" s="4" t="s">
        <v>157</v>
      </c>
      <c r="F41" s="4" t="s">
        <v>65</v>
      </c>
      <c r="G41" s="4" t="s">
        <v>103</v>
      </c>
      <c r="H41" s="4" t="s">
        <v>71</v>
      </c>
      <c r="I41" s="14" t="n">
        <v>59.324</v>
      </c>
      <c r="J41" s="15" t="n">
        <v>96.06</v>
      </c>
      <c r="K41" s="6" t="n">
        <v>5698.7</v>
      </c>
      <c r="L41" s="6" t="n">
        <v>5648.4</v>
      </c>
      <c r="M41" s="6" t="n">
        <v>50.3</v>
      </c>
      <c r="N41" s="14" t="n">
        <v>60.772</v>
      </c>
      <c r="O41" s="15" t="n">
        <v>90.65</v>
      </c>
      <c r="P41" s="6" t="n">
        <v>5508.99</v>
      </c>
      <c r="Q41" s="6" t="n">
        <v>5776.09</v>
      </c>
      <c r="R41" s="6" t="n">
        <v>-267.1</v>
      </c>
      <c r="S41" s="8" t="n">
        <f aca="false">IF(Q41=0,"",R41/Q41)</f>
        <v>-0.0462423542569454</v>
      </c>
      <c r="T41" s="8" t="n">
        <f aca="false">IF(OR(J41=0,O41=0,J41="",O41="",B41="CASH"),"",O41/J41-1)</f>
        <v>-0.0563189673120966</v>
      </c>
      <c r="U41" s="8" t="n">
        <f aca="false">P41/$P$86</f>
        <v>0.00424982594312152</v>
      </c>
      <c r="V41" s="6" t="n">
        <v>175.02</v>
      </c>
      <c r="W41" s="8" t="n">
        <f aca="false">IF(P41=0,"",V41/P41)</f>
        <v>0.0317698888543998</v>
      </c>
    </row>
    <row r="42" customFormat="false" ht="15" hidden="false" customHeight="false" outlineLevel="0" collapsed="false">
      <c r="A42" s="4" t="s">
        <v>96</v>
      </c>
      <c r="B42" s="4" t="s">
        <v>169</v>
      </c>
      <c r="C42" s="4" t="s">
        <v>170</v>
      </c>
      <c r="D42" s="4" t="s">
        <v>63</v>
      </c>
      <c r="E42" s="4" t="s">
        <v>102</v>
      </c>
      <c r="F42" s="4" t="s">
        <v>65</v>
      </c>
      <c r="G42" s="4" t="s">
        <v>103</v>
      </c>
      <c r="H42" s="4" t="s">
        <v>71</v>
      </c>
      <c r="I42" s="14" t="n">
        <v>30.479</v>
      </c>
      <c r="J42" s="15" t="n">
        <v>171.05</v>
      </c>
      <c r="K42" s="6" t="n">
        <v>5213.36</v>
      </c>
      <c r="L42" s="6" t="n">
        <v>4287.99</v>
      </c>
      <c r="M42" s="6" t="n">
        <v>925.37</v>
      </c>
      <c r="N42" s="14" t="n">
        <v>30.824</v>
      </c>
      <c r="O42" s="15" t="n">
        <v>170.48</v>
      </c>
      <c r="P42" s="6" t="n">
        <v>5254.82</v>
      </c>
      <c r="Q42" s="6" t="n">
        <v>4343.35</v>
      </c>
      <c r="R42" s="6" t="n">
        <v>911.47</v>
      </c>
      <c r="S42" s="8" t="n">
        <f aca="false">IF(Q42=0,"",R42/Q42)</f>
        <v>0.209854144842115</v>
      </c>
      <c r="T42" s="8" t="n">
        <f aca="false">IF(OR(J42=0,O42=0,J42="",O42="",B42="CASH"),"",O42/J42-1)</f>
        <v>-0.00333235895936879</v>
      </c>
      <c r="U42" s="8" t="n">
        <f aca="false">P42/$P$86</f>
        <v>0.00405375039025916</v>
      </c>
      <c r="V42" s="6" t="n">
        <v>113.43</v>
      </c>
      <c r="W42" s="8" t="n">
        <f aca="false">IF(P42=0,"",V42/P42)</f>
        <v>0.0215858963770405</v>
      </c>
    </row>
    <row r="43" customFormat="false" ht="15" hidden="false" customHeight="false" outlineLevel="0" collapsed="false">
      <c r="A43" s="4" t="s">
        <v>96</v>
      </c>
      <c r="B43" s="4" t="s">
        <v>171</v>
      </c>
      <c r="C43" s="4" t="s">
        <v>147</v>
      </c>
      <c r="D43" s="4" t="s">
        <v>63</v>
      </c>
      <c r="E43" s="4" t="s">
        <v>122</v>
      </c>
      <c r="F43" s="4" t="s">
        <v>65</v>
      </c>
      <c r="G43" s="4" t="s">
        <v>103</v>
      </c>
      <c r="H43" s="4" t="s">
        <v>67</v>
      </c>
      <c r="I43" s="14"/>
      <c r="J43" s="15"/>
      <c r="K43" s="6" t="n">
        <v>0</v>
      </c>
      <c r="L43" s="6" t="n">
        <v>0</v>
      </c>
      <c r="M43" s="6" t="n">
        <v>0</v>
      </c>
      <c r="N43" s="14" t="n">
        <v>15.009</v>
      </c>
      <c r="O43" s="15" t="n">
        <v>339.35</v>
      </c>
      <c r="P43" s="6" t="n">
        <v>5093.27</v>
      </c>
      <c r="Q43" s="6" t="n">
        <v>5991.68</v>
      </c>
      <c r="R43" s="6" t="n">
        <v>-898.41</v>
      </c>
      <c r="S43" s="8" t="n">
        <f aca="false">IF(Q43=0,"",R43/Q43)</f>
        <v>-0.149942920850246</v>
      </c>
      <c r="T43" s="8" t="str">
        <f aca="false">IF(OR(J43=0,O43=0,J43="",O43="",B43="CASH"),"",O43/J43-1)</f>
        <v/>
      </c>
      <c r="U43" s="8" t="n">
        <f aca="false">P43/$P$86</f>
        <v>0.00392912511754832</v>
      </c>
      <c r="V43" s="6" t="n">
        <v>13.21</v>
      </c>
      <c r="W43" s="8" t="n">
        <f aca="false">IF(P43=0,"",V43/P43)</f>
        <v>0.00259361863792809</v>
      </c>
    </row>
    <row r="44" customFormat="false" ht="15" hidden="false" customHeight="false" outlineLevel="0" collapsed="false">
      <c r="A44" s="4" t="s">
        <v>96</v>
      </c>
      <c r="B44" s="4" t="s">
        <v>172</v>
      </c>
      <c r="C44" s="4" t="s">
        <v>173</v>
      </c>
      <c r="D44" s="4" t="s">
        <v>63</v>
      </c>
      <c r="E44" s="4" t="s">
        <v>115</v>
      </c>
      <c r="F44" s="4" t="s">
        <v>65</v>
      </c>
      <c r="G44" s="4" t="s">
        <v>103</v>
      </c>
      <c r="H44" s="4" t="s">
        <v>71</v>
      </c>
      <c r="I44" s="14" t="n">
        <v>14.287</v>
      </c>
      <c r="J44" s="15" t="n">
        <v>344.1</v>
      </c>
      <c r="K44" s="6" t="n">
        <v>4916.12</v>
      </c>
      <c r="L44" s="6" t="n">
        <v>4415.61</v>
      </c>
      <c r="M44" s="6" t="n">
        <v>500.51</v>
      </c>
      <c r="N44" s="14" t="n">
        <v>14.486</v>
      </c>
      <c r="O44" s="15" t="n">
        <v>327.83</v>
      </c>
      <c r="P44" s="6" t="n">
        <v>4749.01</v>
      </c>
      <c r="Q44" s="6" t="n">
        <v>4482.42</v>
      </c>
      <c r="R44" s="6" t="n">
        <v>266.59</v>
      </c>
      <c r="S44" s="8" t="n">
        <f aca="false">IF(Q44=0,"",R44/Q44)</f>
        <v>0.0594745695405607</v>
      </c>
      <c r="T44" s="8" t="n">
        <f aca="false">IF(OR(J44=0,O44=0,J44="",O44="",B44="CASH"),"",O44/J44-1)</f>
        <v>-0.0472827666376054</v>
      </c>
      <c r="U44" s="8" t="n">
        <f aca="false">P44/$P$86</f>
        <v>0.0036635510142773</v>
      </c>
      <c r="V44" s="6" t="n">
        <v>135.01</v>
      </c>
      <c r="W44" s="8" t="n">
        <f aca="false">IF(P44=0,"",V44/P44)</f>
        <v>0.0284290831141648</v>
      </c>
    </row>
    <row r="45" customFormat="false" ht="15" hidden="false" customHeight="false" outlineLevel="0" collapsed="false">
      <c r="A45" s="4" t="s">
        <v>96</v>
      </c>
      <c r="B45" s="4" t="s">
        <v>174</v>
      </c>
      <c r="C45" s="4" t="s">
        <v>175</v>
      </c>
      <c r="D45" s="4" t="s">
        <v>63</v>
      </c>
      <c r="E45" s="4" t="s">
        <v>115</v>
      </c>
      <c r="F45" s="4" t="s">
        <v>65</v>
      </c>
      <c r="G45" s="4" t="s">
        <v>103</v>
      </c>
      <c r="H45" s="4" t="s">
        <v>71</v>
      </c>
      <c r="I45" s="14" t="n">
        <v>16.351</v>
      </c>
      <c r="J45" s="15" t="n">
        <v>305.63</v>
      </c>
      <c r="K45" s="6" t="n">
        <v>4997.45</v>
      </c>
      <c r="L45" s="6" t="n">
        <v>4202.33</v>
      </c>
      <c r="M45" s="6" t="n">
        <v>795.12</v>
      </c>
      <c r="N45" s="14" t="n">
        <v>16.55</v>
      </c>
      <c r="O45" s="15" t="n">
        <v>263.54</v>
      </c>
      <c r="P45" s="6" t="n">
        <v>4361.67</v>
      </c>
      <c r="Q45" s="6" t="n">
        <v>4263.32</v>
      </c>
      <c r="R45" s="6" t="n">
        <v>98.35</v>
      </c>
      <c r="S45" s="8" t="n">
        <f aca="false">IF(Q45=0,"",R45/Q45)</f>
        <v>0.0230688758995337</v>
      </c>
      <c r="T45" s="8" t="n">
        <f aca="false">IF(OR(J45=0,O45=0,J45="",O45="",B45="CASH"),"",O45/J45-1)</f>
        <v>-0.1377155383961</v>
      </c>
      <c r="U45" s="8" t="n">
        <f aca="false">P45/$P$86</f>
        <v>0.00336474350495006</v>
      </c>
      <c r="V45" s="6" t="n">
        <v>123.13</v>
      </c>
      <c r="W45" s="8" t="n">
        <f aca="false">IF(P45=0,"",V45/P45)</f>
        <v>0.028230012816192</v>
      </c>
    </row>
    <row r="46" customFormat="false" ht="15" hidden="false" customHeight="false" outlineLevel="0" collapsed="false">
      <c r="A46" s="4" t="s">
        <v>96</v>
      </c>
      <c r="B46" s="4" t="s">
        <v>88</v>
      </c>
      <c r="C46" s="4" t="s">
        <v>89</v>
      </c>
      <c r="D46" s="4" t="s">
        <v>90</v>
      </c>
      <c r="E46" s="4" t="s">
        <v>91</v>
      </c>
      <c r="F46" s="4" t="s">
        <v>90</v>
      </c>
      <c r="G46" s="4" t="s">
        <v>90</v>
      </c>
      <c r="H46" s="4" t="s">
        <v>71</v>
      </c>
      <c r="I46" s="14"/>
      <c r="J46" s="15" t="n">
        <v>1</v>
      </c>
      <c r="K46" s="6" t="n">
        <v>1287.95</v>
      </c>
      <c r="L46" s="6" t="n">
        <v>1287.95</v>
      </c>
      <c r="M46" s="6" t="n">
        <v>0</v>
      </c>
      <c r="N46" s="14"/>
      <c r="O46" s="15" t="n">
        <v>1</v>
      </c>
      <c r="P46" s="6" t="n">
        <v>3954.67</v>
      </c>
      <c r="Q46" s="6" t="n">
        <v>3954.67</v>
      </c>
      <c r="R46" s="6" t="n">
        <v>0</v>
      </c>
      <c r="S46" s="8" t="n">
        <f aca="false">IF(Q46=0,"",R46/Q46)</f>
        <v>0</v>
      </c>
      <c r="T46" s="8" t="str">
        <f aca="false">IF(OR(J46=0,O46=0,J46="",O46="",B46="CASH"),"",O46/J46-1)</f>
        <v/>
      </c>
      <c r="U46" s="8" t="n">
        <f aca="false">P46/$P$86</f>
        <v>0.00305076958979493</v>
      </c>
      <c r="V46" s="6" t="n">
        <v>0</v>
      </c>
      <c r="W46" s="8" t="n">
        <f aca="false">IF(P46=0,"",V46/P46)</f>
        <v>0</v>
      </c>
    </row>
    <row r="47" customFormat="false" ht="15" hidden="false" customHeight="false" outlineLevel="0" collapsed="false">
      <c r="A47" s="4" t="s">
        <v>96</v>
      </c>
      <c r="B47" s="4" t="s">
        <v>176</v>
      </c>
      <c r="C47" s="4" t="s">
        <v>177</v>
      </c>
      <c r="D47" s="4" t="s">
        <v>106</v>
      </c>
      <c r="E47" s="4" t="s">
        <v>178</v>
      </c>
      <c r="F47" s="4" t="s">
        <v>65</v>
      </c>
      <c r="G47" s="4" t="s">
        <v>103</v>
      </c>
      <c r="H47" s="4" t="s">
        <v>71</v>
      </c>
      <c r="I47" s="14" t="n">
        <v>23.933</v>
      </c>
      <c r="J47" s="15" t="n">
        <v>195.09</v>
      </c>
      <c r="K47" s="6" t="n">
        <v>4669.09</v>
      </c>
      <c r="L47" s="6" t="n">
        <v>4887.16</v>
      </c>
      <c r="M47" s="6" t="n">
        <v>-218.07</v>
      </c>
      <c r="N47" s="14" t="n">
        <v>12</v>
      </c>
      <c r="O47" s="15" t="n">
        <v>213.53</v>
      </c>
      <c r="P47" s="6" t="n">
        <v>2562.36</v>
      </c>
      <c r="Q47" s="6" t="n">
        <v>2523.5</v>
      </c>
      <c r="R47" s="6" t="n">
        <v>38.86</v>
      </c>
      <c r="S47" s="8" t="n">
        <f aca="false">IF(Q47=0,"",R47/Q47)</f>
        <v>0.0153992470774718</v>
      </c>
      <c r="T47" s="8" t="n">
        <f aca="false">IF(OR(J47=0,O47=0,J47="",O47="",B47="CASH"),"",O47/J47-1)</f>
        <v>0.094520477728228</v>
      </c>
      <c r="U47" s="8" t="n">
        <f aca="false">P47/$P$86</f>
        <v>0.00197669336913243</v>
      </c>
      <c r="V47" s="6" t="n">
        <v>33.6</v>
      </c>
      <c r="W47" s="8" t="n">
        <f aca="false">IF(P47=0,"",V47/P47)</f>
        <v>0.013112911534679</v>
      </c>
    </row>
    <row r="48" customFormat="false" ht="15" hidden="false" customHeight="false" outlineLevel="0" collapsed="false">
      <c r="A48" s="4" t="s">
        <v>96</v>
      </c>
      <c r="B48" s="4" t="s">
        <v>179</v>
      </c>
      <c r="C48" s="4" t="s">
        <v>180</v>
      </c>
      <c r="D48" s="4" t="s">
        <v>106</v>
      </c>
      <c r="E48" s="4" t="s">
        <v>178</v>
      </c>
      <c r="F48" s="4" t="s">
        <v>65</v>
      </c>
      <c r="G48" s="4" t="s">
        <v>103</v>
      </c>
      <c r="H48" s="4" t="s">
        <v>67</v>
      </c>
      <c r="I48" s="14"/>
      <c r="J48" s="15"/>
      <c r="K48" s="6" t="n">
        <v>0</v>
      </c>
      <c r="L48" s="6" t="n">
        <v>0</v>
      </c>
      <c r="M48" s="6" t="n">
        <v>0</v>
      </c>
      <c r="N48" s="14" t="n">
        <v>12</v>
      </c>
      <c r="O48" s="15" t="n">
        <v>158.11</v>
      </c>
      <c r="P48" s="6" t="n">
        <v>1897.32</v>
      </c>
      <c r="Q48" s="6" t="n">
        <v>2382.92</v>
      </c>
      <c r="R48" s="6" t="n">
        <v>-485.6</v>
      </c>
      <c r="S48" s="8" t="n">
        <f aca="false">IF(Q48=0,"",R48/Q48)</f>
        <v>-0.203783593238548</v>
      </c>
      <c r="T48" s="8" t="str">
        <f aca="false">IF(OR(J48=0,O48=0,J48="",O48="",B48="CASH"),"",O48/J48-1)</f>
        <v/>
      </c>
      <c r="U48" s="8" t="n">
        <f aca="false">P48/$P$86</f>
        <v>0.00146365844889958</v>
      </c>
      <c r="V48" s="6" t="n">
        <v>0</v>
      </c>
      <c r="W48" s="8" t="n">
        <f aca="false">IF(P48=0,"",V48/P48)</f>
        <v>0</v>
      </c>
    </row>
    <row r="49" customFormat="false" ht="15" hidden="false" customHeight="false" outlineLevel="0" collapsed="false">
      <c r="A49" s="4" t="s">
        <v>96</v>
      </c>
      <c r="B49" s="4" t="s">
        <v>181</v>
      </c>
      <c r="C49" s="4" t="s">
        <v>182</v>
      </c>
      <c r="D49" s="4" t="s">
        <v>63</v>
      </c>
      <c r="E49" s="4" t="s">
        <v>99</v>
      </c>
      <c r="F49" s="4" t="s">
        <v>65</v>
      </c>
      <c r="G49" s="4" t="s">
        <v>66</v>
      </c>
      <c r="H49" s="4" t="s">
        <v>95</v>
      </c>
      <c r="I49" s="14" t="n">
        <v>1578.75</v>
      </c>
      <c r="J49" s="15" t="n">
        <v>9</v>
      </c>
      <c r="K49" s="6" t="n">
        <v>14208.75</v>
      </c>
      <c r="L49" s="6" t="n">
        <v>25888.71</v>
      </c>
      <c r="M49" s="6" t="n">
        <v>-11679.96</v>
      </c>
      <c r="N49" s="14"/>
      <c r="O49" s="15"/>
      <c r="P49" s="6" t="n">
        <v>0</v>
      </c>
      <c r="Q49" s="6" t="n">
        <v>0</v>
      </c>
      <c r="R49" s="6" t="n">
        <v>0</v>
      </c>
      <c r="S49" s="8" t="str">
        <f aca="false">IF(Q49=0,"",R49/Q49)</f>
        <v/>
      </c>
      <c r="T49" s="8" t="str">
        <f aca="false">IF(OR(J49=0,O49=0,J49="",O49="",B49="CASH"),"",O49/J49-1)</f>
        <v/>
      </c>
      <c r="U49" s="8" t="n">
        <f aca="false">P49/$P$86</f>
        <v>0</v>
      </c>
      <c r="V49" s="6" t="n">
        <v>0</v>
      </c>
      <c r="W49" s="8" t="str">
        <f aca="false">IF(P49=0,"",V49/P49)</f>
        <v/>
      </c>
    </row>
    <row r="50" customFormat="false" ht="15" hidden="false" customHeight="false" outlineLevel="0" collapsed="false">
      <c r="A50" s="4" t="s">
        <v>96</v>
      </c>
      <c r="B50" s="4" t="s">
        <v>92</v>
      </c>
      <c r="C50" s="4" t="s">
        <v>93</v>
      </c>
      <c r="D50" s="4" t="s">
        <v>63</v>
      </c>
      <c r="E50" s="4" t="s">
        <v>94</v>
      </c>
      <c r="F50" s="4" t="s">
        <v>65</v>
      </c>
      <c r="G50" s="4" t="s">
        <v>66</v>
      </c>
      <c r="H50" s="4" t="s">
        <v>95</v>
      </c>
      <c r="I50" s="14" t="n">
        <v>397.256</v>
      </c>
      <c r="J50" s="15" t="n">
        <v>90.21</v>
      </c>
      <c r="K50" s="6" t="n">
        <v>35836.46</v>
      </c>
      <c r="L50" s="6" t="n">
        <v>36485.16</v>
      </c>
      <c r="M50" s="6" t="n">
        <v>-648.7</v>
      </c>
      <c r="N50" s="14"/>
      <c r="O50" s="15"/>
      <c r="P50" s="6" t="n">
        <v>0</v>
      </c>
      <c r="Q50" s="6" t="n">
        <v>0</v>
      </c>
      <c r="R50" s="6" t="n">
        <v>0</v>
      </c>
      <c r="S50" s="8" t="str">
        <f aca="false">IF(Q50=0,"",R50/Q50)</f>
        <v/>
      </c>
      <c r="T50" s="8" t="str">
        <f aca="false">IF(OR(J50=0,O50=0,J50="",O50="",B50="CASH"),"",O50/J50-1)</f>
        <v/>
      </c>
      <c r="U50" s="8" t="n">
        <f aca="false">P50/$P$86</f>
        <v>0</v>
      </c>
      <c r="V50" s="6" t="n">
        <v>0</v>
      </c>
      <c r="W50" s="8" t="str">
        <f aca="false">IF(P50=0,"",V50/P50)</f>
        <v/>
      </c>
    </row>
    <row r="51" customFormat="false" ht="15" hidden="false" customHeight="false" outlineLevel="0" collapsed="false">
      <c r="A51" s="4" t="s">
        <v>96</v>
      </c>
      <c r="B51" s="4" t="s">
        <v>183</v>
      </c>
      <c r="C51" s="4" t="s">
        <v>184</v>
      </c>
      <c r="D51" s="4" t="s">
        <v>118</v>
      </c>
      <c r="E51" s="4" t="s">
        <v>185</v>
      </c>
      <c r="F51" s="4" t="s">
        <v>65</v>
      </c>
      <c r="G51" s="4" t="s">
        <v>66</v>
      </c>
      <c r="H51" s="4" t="s">
        <v>95</v>
      </c>
      <c r="I51" s="14" t="n">
        <v>322.395</v>
      </c>
      <c r="J51" s="15" t="n">
        <v>76.94</v>
      </c>
      <c r="K51" s="6" t="n">
        <v>24805.07</v>
      </c>
      <c r="L51" s="6" t="n">
        <v>21160.26</v>
      </c>
      <c r="M51" s="6" t="n">
        <v>3644.81</v>
      </c>
      <c r="N51" s="14"/>
      <c r="O51" s="15"/>
      <c r="P51" s="6" t="n">
        <v>0</v>
      </c>
      <c r="Q51" s="6" t="n">
        <v>0</v>
      </c>
      <c r="R51" s="6" t="n">
        <v>0</v>
      </c>
      <c r="S51" s="8" t="str">
        <f aca="false">IF(Q51=0,"",R51/Q51)</f>
        <v/>
      </c>
      <c r="T51" s="8" t="str">
        <f aca="false">IF(OR(J51=0,O51=0,J51="",O51="",B51="CASH"),"",O51/J51-1)</f>
        <v/>
      </c>
      <c r="U51" s="8" t="n">
        <f aca="false">P51/$P$86</f>
        <v>0</v>
      </c>
      <c r="V51" s="6" t="n">
        <v>0</v>
      </c>
      <c r="W51" s="8" t="str">
        <f aca="false">IF(P51=0,"",V51/P51)</f>
        <v/>
      </c>
    </row>
    <row r="52" customFormat="false" ht="15" hidden="false" customHeight="false" outlineLevel="0" collapsed="false">
      <c r="A52" s="4" t="s">
        <v>186</v>
      </c>
      <c r="B52" s="4" t="s">
        <v>187</v>
      </c>
      <c r="C52" s="4" t="s">
        <v>188</v>
      </c>
      <c r="D52" s="4" t="s">
        <v>86</v>
      </c>
      <c r="E52" s="4" t="s">
        <v>189</v>
      </c>
      <c r="F52" s="4" t="s">
        <v>190</v>
      </c>
      <c r="G52" s="4" t="s">
        <v>190</v>
      </c>
      <c r="H52" s="4" t="s">
        <v>67</v>
      </c>
      <c r="I52" s="14"/>
      <c r="J52" s="15"/>
      <c r="K52" s="6" t="n">
        <v>0</v>
      </c>
      <c r="L52" s="6" t="n">
        <v>0</v>
      </c>
      <c r="M52" s="6" t="n">
        <v>0</v>
      </c>
      <c r="N52" s="14" t="n">
        <v>36000</v>
      </c>
      <c r="O52" s="15" t="n">
        <v>98.23</v>
      </c>
      <c r="P52" s="6" t="n">
        <v>35362.8</v>
      </c>
      <c r="Q52" s="6" t="n">
        <v>36000</v>
      </c>
      <c r="R52" s="6" t="n">
        <v>-637.2</v>
      </c>
      <c r="S52" s="8" t="n">
        <f aca="false">IF(Q52=0,"",R52/Q52)</f>
        <v>-0.0177</v>
      </c>
      <c r="T52" s="8" t="str">
        <f aca="false">IF(OR(J52=0,O52=0,J52="",O52="",B52="CASH"),"",O52/J52-1)</f>
        <v/>
      </c>
      <c r="U52" s="8" t="n">
        <f aca="false">P52/$P$86</f>
        <v>0.0272800903362354</v>
      </c>
      <c r="V52" s="6" t="n">
        <v>0</v>
      </c>
      <c r="W52" s="8" t="n">
        <f aca="false">IF(P52=0,"",V52/P52)</f>
        <v>0</v>
      </c>
    </row>
    <row r="53" customFormat="false" ht="15" hidden="false" customHeight="false" outlineLevel="0" collapsed="false">
      <c r="A53" s="4" t="s">
        <v>186</v>
      </c>
      <c r="B53" s="4" t="s">
        <v>191</v>
      </c>
      <c r="C53" s="4" t="s">
        <v>192</v>
      </c>
      <c r="D53" s="4" t="s">
        <v>86</v>
      </c>
      <c r="E53" s="4" t="s">
        <v>193</v>
      </c>
      <c r="F53" s="4" t="s">
        <v>190</v>
      </c>
      <c r="G53" s="4" t="s">
        <v>190</v>
      </c>
      <c r="H53" s="4" t="s">
        <v>71</v>
      </c>
      <c r="I53" s="14" t="n">
        <v>30000</v>
      </c>
      <c r="J53" s="15" t="n">
        <v>104.78</v>
      </c>
      <c r="K53" s="6" t="n">
        <v>31434</v>
      </c>
      <c r="L53" s="6" t="n">
        <v>31217.95</v>
      </c>
      <c r="M53" s="6" t="n">
        <v>216.05</v>
      </c>
      <c r="N53" s="14" t="n">
        <v>30000</v>
      </c>
      <c r="O53" s="15" t="n">
        <v>107.67</v>
      </c>
      <c r="P53" s="6" t="n">
        <v>32301</v>
      </c>
      <c r="Q53" s="6" t="n">
        <v>31987.83</v>
      </c>
      <c r="R53" s="6" t="n">
        <v>313.17</v>
      </c>
      <c r="S53" s="8" t="n">
        <f aca="false">IF(Q53=0,"",R53/Q53)</f>
        <v>0.00979028586809421</v>
      </c>
      <c r="T53" s="8" t="n">
        <f aca="false">IF(OR(J53=0,O53=0,J53="",O53="",B53="CASH"),"",O53/J53-1)</f>
        <v>0.0275815995418973</v>
      </c>
      <c r="U53" s="8" t="n">
        <f aca="false">P53/$P$86</f>
        <v>0.0249181116300389</v>
      </c>
      <c r="V53" s="6" t="n">
        <v>0</v>
      </c>
      <c r="W53" s="8" t="n">
        <f aca="false">IF(P53=0,"",V53/P53)</f>
        <v>0</v>
      </c>
    </row>
    <row r="54" customFormat="false" ht="15" hidden="false" customHeight="false" outlineLevel="0" collapsed="false">
      <c r="A54" s="4" t="s">
        <v>186</v>
      </c>
      <c r="B54" s="4" t="s">
        <v>88</v>
      </c>
      <c r="C54" s="4" t="s">
        <v>89</v>
      </c>
      <c r="D54" s="4" t="s">
        <v>90</v>
      </c>
      <c r="E54" s="4" t="s">
        <v>91</v>
      </c>
      <c r="F54" s="4" t="s">
        <v>90</v>
      </c>
      <c r="G54" s="4" t="s">
        <v>90</v>
      </c>
      <c r="H54" s="4" t="s">
        <v>71</v>
      </c>
      <c r="I54" s="14"/>
      <c r="J54" s="15" t="n">
        <v>1</v>
      </c>
      <c r="K54" s="6" t="n">
        <v>34147.82</v>
      </c>
      <c r="L54" s="6" t="n">
        <v>34147.82</v>
      </c>
      <c r="M54" s="6" t="n">
        <v>0</v>
      </c>
      <c r="N54" s="14"/>
      <c r="O54" s="15" t="n">
        <v>1</v>
      </c>
      <c r="P54" s="6" t="n">
        <v>1649.27</v>
      </c>
      <c r="Q54" s="6" t="n">
        <v>1649.27</v>
      </c>
      <c r="R54" s="6" t="n">
        <v>0</v>
      </c>
      <c r="S54" s="8" t="n">
        <f aca="false">IF(Q54=0,"",R54/Q54)</f>
        <v>0</v>
      </c>
      <c r="T54" s="8" t="str">
        <f aca="false">IF(OR(J54=0,O54=0,J54="",O54="",B54="CASH"),"",O54/J54-1)</f>
        <v/>
      </c>
      <c r="U54" s="8" t="n">
        <f aca="false">P54/$P$86</f>
        <v>0.00127230407628477</v>
      </c>
      <c r="V54" s="6" t="n">
        <v>0</v>
      </c>
      <c r="W54" s="8" t="n">
        <f aca="false">IF(P54=0,"",V54/P54)</f>
        <v>0</v>
      </c>
    </row>
    <row r="55" customFormat="false" ht="15" hidden="false" customHeight="false" outlineLevel="0" collapsed="false">
      <c r="A55" s="4" t="s">
        <v>186</v>
      </c>
      <c r="B55" s="4" t="s">
        <v>194</v>
      </c>
      <c r="C55" s="4" t="s">
        <v>195</v>
      </c>
      <c r="D55" s="4" t="s">
        <v>196</v>
      </c>
      <c r="E55" s="4" t="s">
        <v>197</v>
      </c>
      <c r="F55" s="4" t="s">
        <v>190</v>
      </c>
      <c r="G55" s="4" t="s">
        <v>190</v>
      </c>
      <c r="H55" s="4" t="s">
        <v>95</v>
      </c>
      <c r="I55" s="14" t="n">
        <v>28000</v>
      </c>
      <c r="J55" s="15" t="n">
        <v>115.08</v>
      </c>
      <c r="K55" s="6" t="n">
        <v>32222.4</v>
      </c>
      <c r="L55" s="6" t="n">
        <v>28000</v>
      </c>
      <c r="M55" s="6" t="n">
        <v>4222.4</v>
      </c>
      <c r="N55" s="14"/>
      <c r="O55" s="15"/>
      <c r="P55" s="6" t="n">
        <v>0</v>
      </c>
      <c r="Q55" s="6" t="n">
        <v>0</v>
      </c>
      <c r="R55" s="6" t="n">
        <v>0</v>
      </c>
      <c r="S55" s="8" t="str">
        <f aca="false">IF(Q55=0,"",R55/Q55)</f>
        <v/>
      </c>
      <c r="T55" s="8" t="str">
        <f aca="false">IF(OR(J55=0,O55=0,J55="",O55="",B55="CASH"),"",O55/J55-1)</f>
        <v/>
      </c>
      <c r="U55" s="8" t="n">
        <f aca="false">P55/$P$86</f>
        <v>0</v>
      </c>
      <c r="V55" s="6" t="n">
        <v>0</v>
      </c>
      <c r="W55" s="8" t="str">
        <f aca="false">IF(P55=0,"",V55/P55)</f>
        <v/>
      </c>
    </row>
    <row r="56" customFormat="false" ht="15" hidden="false" customHeight="false" outlineLevel="0" collapsed="false">
      <c r="A56" s="4" t="s">
        <v>198</v>
      </c>
      <c r="B56" s="4" t="s">
        <v>199</v>
      </c>
      <c r="C56" s="4" t="s">
        <v>200</v>
      </c>
      <c r="D56" s="4" t="s">
        <v>110</v>
      </c>
      <c r="E56" s="4" t="s">
        <v>201</v>
      </c>
      <c r="F56" s="4" t="s">
        <v>112</v>
      </c>
      <c r="G56" s="4" t="s">
        <v>66</v>
      </c>
      <c r="H56" s="4" t="s">
        <v>71</v>
      </c>
      <c r="I56" s="14" t="n">
        <v>6118.639</v>
      </c>
      <c r="J56" s="15" t="n">
        <v>10.48</v>
      </c>
      <c r="K56" s="6" t="n">
        <v>64123.34</v>
      </c>
      <c r="L56" s="6" t="n">
        <v>63549.64</v>
      </c>
      <c r="M56" s="6" t="n">
        <v>573.7</v>
      </c>
      <c r="N56" s="14" t="n">
        <v>4493.673</v>
      </c>
      <c r="O56" s="15" t="n">
        <v>10.86</v>
      </c>
      <c r="P56" s="6" t="n">
        <v>48801.29</v>
      </c>
      <c r="Q56" s="6" t="n">
        <v>46670.75</v>
      </c>
      <c r="R56" s="6" t="n">
        <v>2130.54</v>
      </c>
      <c r="S56" s="8" t="n">
        <f aca="false">IF(Q56=0,"",R56/Q56)</f>
        <v>0.0456504341584397</v>
      </c>
      <c r="T56" s="8" t="n">
        <f aca="false">IF(OR(J56=0,O56=0,J56="",O56="",B56="CASH"),"",O56/J56-1)</f>
        <v>0.0362595419847327</v>
      </c>
      <c r="U56" s="8" t="n">
        <f aca="false">P56/$P$86</f>
        <v>0.0376470075821152</v>
      </c>
      <c r="V56" s="6" t="n">
        <v>2857.98</v>
      </c>
      <c r="W56" s="8" t="n">
        <f aca="false">IF(P56=0,"",V56/P56)</f>
        <v>0.0585636158388436</v>
      </c>
    </row>
    <row r="57" customFormat="false" ht="15" hidden="false" customHeight="false" outlineLevel="0" collapsed="false">
      <c r="A57" s="4" t="s">
        <v>198</v>
      </c>
      <c r="B57" s="4" t="s">
        <v>202</v>
      </c>
      <c r="C57" s="4" t="s">
        <v>203</v>
      </c>
      <c r="D57" s="4" t="s">
        <v>79</v>
      </c>
      <c r="E57" s="4" t="s">
        <v>204</v>
      </c>
      <c r="F57" s="4" t="s">
        <v>76</v>
      </c>
      <c r="G57" s="4" t="s">
        <v>66</v>
      </c>
      <c r="H57" s="4" t="s">
        <v>71</v>
      </c>
      <c r="I57" s="14" t="n">
        <v>4039.863</v>
      </c>
      <c r="J57" s="15" t="n">
        <v>9.38</v>
      </c>
      <c r="K57" s="6" t="n">
        <v>37893.91</v>
      </c>
      <c r="L57" s="6" t="n">
        <v>39921.82</v>
      </c>
      <c r="M57" s="6" t="n">
        <v>-2027.91</v>
      </c>
      <c r="N57" s="14" t="n">
        <v>4063.255</v>
      </c>
      <c r="O57" s="15" t="n">
        <v>9.16</v>
      </c>
      <c r="P57" s="6" t="n">
        <v>37219.42</v>
      </c>
      <c r="Q57" s="6" t="n">
        <v>40036.57</v>
      </c>
      <c r="R57" s="6" t="n">
        <v>-2817.15</v>
      </c>
      <c r="S57" s="8" t="n">
        <f aca="false">IF(Q57=0,"",R57/Q57)</f>
        <v>-0.0703644193296279</v>
      </c>
      <c r="T57" s="8" t="n">
        <f aca="false">IF(OR(J57=0,O57=0,J57="",O57="",B57="CASH"),"",O57/J57-1)</f>
        <v>-0.023454157782516</v>
      </c>
      <c r="U57" s="8" t="n">
        <f aca="false">P57/$P$86</f>
        <v>0.0287123513936195</v>
      </c>
      <c r="V57" s="6" t="n">
        <v>2600.48</v>
      </c>
      <c r="W57" s="8" t="n">
        <f aca="false">IF(P57=0,"",V57/P57)</f>
        <v>0.0698689017722469</v>
      </c>
    </row>
    <row r="58" customFormat="false" ht="15" hidden="false" customHeight="false" outlineLevel="0" collapsed="false">
      <c r="A58" s="4" t="s">
        <v>198</v>
      </c>
      <c r="B58" s="4" t="s">
        <v>100</v>
      </c>
      <c r="C58" s="4" t="s">
        <v>101</v>
      </c>
      <c r="D58" s="4" t="s">
        <v>63</v>
      </c>
      <c r="E58" s="4" t="s">
        <v>102</v>
      </c>
      <c r="F58" s="4" t="s">
        <v>65</v>
      </c>
      <c r="G58" s="4" t="s">
        <v>103</v>
      </c>
      <c r="H58" s="4" t="s">
        <v>71</v>
      </c>
      <c r="I58" s="14" t="n">
        <v>93.364</v>
      </c>
      <c r="J58" s="15" t="n">
        <v>271.86</v>
      </c>
      <c r="K58" s="6" t="n">
        <v>25382.05</v>
      </c>
      <c r="L58" s="6" t="n">
        <v>4216.61</v>
      </c>
      <c r="M58" s="6" t="n">
        <v>21165.44</v>
      </c>
      <c r="N58" s="14" t="n">
        <v>93.621</v>
      </c>
      <c r="O58" s="15" t="n">
        <v>316.85</v>
      </c>
      <c r="P58" s="6" t="n">
        <v>29663.78</v>
      </c>
      <c r="Q58" s="6" t="n">
        <v>4291.37</v>
      </c>
      <c r="R58" s="6" t="n">
        <v>25372.41</v>
      </c>
      <c r="S58" s="8" t="n">
        <f aca="false">IF(Q58=0,"",R58/Q58)</f>
        <v>5.91242656773944</v>
      </c>
      <c r="T58" s="8" t="n">
        <f aca="false">IF(OR(J58=0,O58=0,J58="",O58="",B58="CASH"),"",O58/J58-1)</f>
        <v>0.165489590230266</v>
      </c>
      <c r="U58" s="8" t="n">
        <f aca="false">P58/$P$86</f>
        <v>0.022883668660689</v>
      </c>
      <c r="V58" s="6" t="n">
        <v>101.11</v>
      </c>
      <c r="W58" s="8" t="n">
        <f aca="false">IF(P58=0,"",V58/P58)</f>
        <v>0.0034085339090298</v>
      </c>
    </row>
    <row r="59" customFormat="false" ht="15" hidden="false" customHeight="false" outlineLevel="0" collapsed="false">
      <c r="A59" s="4" t="s">
        <v>198</v>
      </c>
      <c r="B59" s="4" t="s">
        <v>72</v>
      </c>
      <c r="C59" s="4" t="s">
        <v>73</v>
      </c>
      <c r="D59" s="4" t="s">
        <v>74</v>
      </c>
      <c r="E59" s="4" t="s">
        <v>75</v>
      </c>
      <c r="F59" s="4" t="s">
        <v>76</v>
      </c>
      <c r="G59" s="4" t="s">
        <v>66</v>
      </c>
      <c r="H59" s="4" t="s">
        <v>71</v>
      </c>
      <c r="I59" s="14" t="n">
        <v>9638.363</v>
      </c>
      <c r="J59" s="15" t="n">
        <v>3.89</v>
      </c>
      <c r="K59" s="6" t="n">
        <v>37493.23</v>
      </c>
      <c r="L59" s="6" t="n">
        <v>40428.55</v>
      </c>
      <c r="M59" s="6" t="n">
        <v>-2935.32</v>
      </c>
      <c r="N59" s="14" t="n">
        <v>7335.129</v>
      </c>
      <c r="O59" s="15" t="n">
        <v>3.82</v>
      </c>
      <c r="P59" s="6" t="n">
        <v>28020.19</v>
      </c>
      <c r="Q59" s="6" t="n">
        <v>30504.98</v>
      </c>
      <c r="R59" s="6" t="n">
        <v>-2484.79</v>
      </c>
      <c r="S59" s="8" t="n">
        <f aca="false">IF(Q59=0,"",R59/Q59)</f>
        <v>-0.0814552246879034</v>
      </c>
      <c r="T59" s="8" t="n">
        <f aca="false">IF(OR(J59=0,O59=0,J59="",O59="",B59="CASH"),"",O59/J59-1)</f>
        <v>-0.0179948586118253</v>
      </c>
      <c r="U59" s="8" t="n">
        <f aca="false">P59/$P$86</f>
        <v>0.0216157463333922</v>
      </c>
      <c r="V59" s="6" t="n">
        <v>1430.35</v>
      </c>
      <c r="W59" s="8" t="n">
        <f aca="false">IF(P59=0,"",V59/P59)</f>
        <v>0.0510471199517205</v>
      </c>
    </row>
    <row r="60" customFormat="false" ht="15" hidden="false" customHeight="false" outlineLevel="0" collapsed="false">
      <c r="A60" s="4" t="s">
        <v>198</v>
      </c>
      <c r="B60" s="4" t="s">
        <v>123</v>
      </c>
      <c r="C60" s="4" t="s">
        <v>124</v>
      </c>
      <c r="D60" s="4" t="s">
        <v>63</v>
      </c>
      <c r="E60" s="4" t="s">
        <v>102</v>
      </c>
      <c r="F60" s="4" t="s">
        <v>65</v>
      </c>
      <c r="G60" s="4" t="s">
        <v>103</v>
      </c>
      <c r="H60" s="4" t="s">
        <v>71</v>
      </c>
      <c r="I60" s="14" t="n">
        <v>49.761</v>
      </c>
      <c r="J60" s="15" t="n">
        <v>483.62</v>
      </c>
      <c r="K60" s="6" t="n">
        <v>24065.22</v>
      </c>
      <c r="L60" s="6" t="n">
        <v>4656.92</v>
      </c>
      <c r="M60" s="6" t="n">
        <v>19408.3</v>
      </c>
      <c r="N60" s="14" t="n">
        <v>49.988</v>
      </c>
      <c r="O60" s="15" t="n">
        <v>507.29</v>
      </c>
      <c r="P60" s="6" t="n">
        <v>25358.26</v>
      </c>
      <c r="Q60" s="6" t="n">
        <v>4747.58</v>
      </c>
      <c r="R60" s="6" t="n">
        <v>20610.68</v>
      </c>
      <c r="S60" s="8" t="n">
        <f aca="false">IF(Q60=0,"",R60/Q60)</f>
        <v>4.34130230559569</v>
      </c>
      <c r="T60" s="8" t="n">
        <f aca="false">IF(OR(J60=0,O60=0,J60="",O60="",B60="CASH"),"",O60/J60-1)</f>
        <v>0.0489433853025103</v>
      </c>
      <c r="U60" s="8" t="n">
        <f aca="false">P60/$P$86</f>
        <v>0.0195622412130755</v>
      </c>
      <c r="V60" s="6" t="n">
        <v>181.96</v>
      </c>
      <c r="W60" s="8" t="n">
        <f aca="false">IF(P60=0,"",V60/P60)</f>
        <v>0.00717557119455357</v>
      </c>
    </row>
    <row r="61" customFormat="false" ht="15" hidden="false" customHeight="false" outlineLevel="0" collapsed="false">
      <c r="A61" s="4" t="s">
        <v>198</v>
      </c>
      <c r="B61" s="4" t="s">
        <v>77</v>
      </c>
      <c r="C61" s="4" t="s">
        <v>78</v>
      </c>
      <c r="D61" s="4" t="s">
        <v>79</v>
      </c>
      <c r="E61" s="4" t="s">
        <v>80</v>
      </c>
      <c r="F61" s="4" t="s">
        <v>76</v>
      </c>
      <c r="G61" s="4" t="s">
        <v>66</v>
      </c>
      <c r="H61" s="4" t="s">
        <v>71</v>
      </c>
      <c r="I61" s="14" t="n">
        <v>2408.912</v>
      </c>
      <c r="J61" s="15" t="n">
        <v>9.78</v>
      </c>
      <c r="K61" s="6" t="n">
        <v>23559.16</v>
      </c>
      <c r="L61" s="6" t="n">
        <v>23083.21</v>
      </c>
      <c r="M61" s="6" t="n">
        <v>475.95</v>
      </c>
      <c r="N61" s="14" t="n">
        <v>2540.622</v>
      </c>
      <c r="O61" s="15" t="n">
        <v>9.61</v>
      </c>
      <c r="P61" s="6" t="n">
        <v>24415.38</v>
      </c>
      <c r="Q61" s="6" t="n">
        <v>24358.49</v>
      </c>
      <c r="R61" s="6" t="n">
        <v>56.89</v>
      </c>
      <c r="S61" s="8" t="n">
        <f aca="false">IF(Q61=0,"",R61/Q61)</f>
        <v>0.00233553065070947</v>
      </c>
      <c r="T61" s="8" t="n">
        <f aca="false">IF(OR(J61=0,O61=0,J61="",O61="",B61="CASH"),"",O61/J61-1)</f>
        <v>-0.0173824130879345</v>
      </c>
      <c r="U61" s="8" t="n">
        <f aca="false">P61/$P$86</f>
        <v>0.0188348708810817</v>
      </c>
      <c r="V61" s="6" t="n">
        <v>1971.52</v>
      </c>
      <c r="W61" s="8" t="n">
        <f aca="false">IF(P61=0,"",V61/P61)</f>
        <v>0.0807491015908825</v>
      </c>
    </row>
    <row r="62" customFormat="false" ht="15" hidden="false" customHeight="false" outlineLevel="0" collapsed="false">
      <c r="A62" s="4" t="s">
        <v>198</v>
      </c>
      <c r="B62" s="4" t="s">
        <v>205</v>
      </c>
      <c r="C62" s="4" t="s">
        <v>206</v>
      </c>
      <c r="D62" s="4" t="s">
        <v>63</v>
      </c>
      <c r="E62" s="4" t="s">
        <v>102</v>
      </c>
      <c r="F62" s="4" t="s">
        <v>65</v>
      </c>
      <c r="G62" s="4" t="s">
        <v>103</v>
      </c>
      <c r="H62" s="4" t="s">
        <v>71</v>
      </c>
      <c r="I62" s="14" t="n">
        <v>47.052</v>
      </c>
      <c r="J62" s="15" t="n">
        <v>173.49</v>
      </c>
      <c r="K62" s="6" t="n">
        <v>8163.02</v>
      </c>
      <c r="L62" s="6" t="n">
        <v>5141.56</v>
      </c>
      <c r="M62" s="6" t="n">
        <v>3021.46</v>
      </c>
      <c r="N62" s="14" t="n">
        <v>47.822</v>
      </c>
      <c r="O62" s="15" t="n">
        <v>260.91</v>
      </c>
      <c r="P62" s="6" t="n">
        <v>12477.21</v>
      </c>
      <c r="Q62" s="6" t="n">
        <v>5343.19</v>
      </c>
      <c r="R62" s="6" t="n">
        <v>7134.02</v>
      </c>
      <c r="S62" s="8" t="n">
        <f aca="false">IF(Q62=0,"",R62/Q62)</f>
        <v>1.33516120519764</v>
      </c>
      <c r="T62" s="8" t="n">
        <f aca="false">IF(OR(J62=0,O62=0,J62="",O62="",B62="CASH"),"",O62/J62-1)</f>
        <v>0.5038907141622</v>
      </c>
      <c r="U62" s="8" t="n">
        <f aca="false">P62/$P$86</f>
        <v>0.00962535251575611</v>
      </c>
      <c r="V62" s="6" t="n">
        <v>271.63</v>
      </c>
      <c r="W62" s="8" t="n">
        <f aca="false">IF(P62=0,"",V62/P62)</f>
        <v>0.0217700912303311</v>
      </c>
    </row>
    <row r="63" customFormat="false" ht="15" hidden="false" customHeight="false" outlineLevel="0" collapsed="false">
      <c r="A63" s="4" t="s">
        <v>198</v>
      </c>
      <c r="B63" s="4" t="s">
        <v>207</v>
      </c>
      <c r="C63" s="4" t="s">
        <v>208</v>
      </c>
      <c r="D63" s="4" t="s">
        <v>63</v>
      </c>
      <c r="E63" s="4" t="s">
        <v>157</v>
      </c>
      <c r="F63" s="4" t="s">
        <v>65</v>
      </c>
      <c r="G63" s="4" t="s">
        <v>103</v>
      </c>
      <c r="H63" s="4" t="s">
        <v>71</v>
      </c>
      <c r="I63" s="14" t="n">
        <v>26.615</v>
      </c>
      <c r="J63" s="15" t="n">
        <v>327.31</v>
      </c>
      <c r="K63" s="6" t="n">
        <v>8711.32</v>
      </c>
      <c r="L63" s="6" t="n">
        <v>5057.33</v>
      </c>
      <c r="M63" s="6" t="n">
        <v>3653.99</v>
      </c>
      <c r="N63" s="14" t="n">
        <v>26.992</v>
      </c>
      <c r="O63" s="15" t="n">
        <v>429.88</v>
      </c>
      <c r="P63" s="6" t="n">
        <v>11603.28</v>
      </c>
      <c r="Q63" s="6" t="n">
        <v>5191.93</v>
      </c>
      <c r="R63" s="6" t="n">
        <v>6411.35</v>
      </c>
      <c r="S63" s="8" t="n">
        <f aca="false">IF(Q63=0,"",R63/Q63)</f>
        <v>1.23486834375656</v>
      </c>
      <c r="T63" s="8" t="n">
        <f aca="false">IF(OR(J63=0,O63=0,J63="",O63="",B63="CASH"),"",O63/J63-1)</f>
        <v>0.313372643671138</v>
      </c>
      <c r="U63" s="8" t="n">
        <f aca="false">P63/$P$86</f>
        <v>0.00895117260501527</v>
      </c>
      <c r="V63" s="6" t="n">
        <v>272.08</v>
      </c>
      <c r="W63" s="8" t="n">
        <f aca="false">IF(P63=0,"",V63/P63)</f>
        <v>0.0234485421363614</v>
      </c>
    </row>
    <row r="64" customFormat="false" ht="15" hidden="false" customHeight="false" outlineLevel="0" collapsed="false">
      <c r="A64" s="4" t="s">
        <v>198</v>
      </c>
      <c r="B64" s="4" t="s">
        <v>140</v>
      </c>
      <c r="C64" s="4" t="s">
        <v>141</v>
      </c>
      <c r="D64" s="4" t="s">
        <v>63</v>
      </c>
      <c r="E64" s="4" t="s">
        <v>142</v>
      </c>
      <c r="F64" s="4" t="s">
        <v>65</v>
      </c>
      <c r="G64" s="4" t="s">
        <v>103</v>
      </c>
      <c r="H64" s="4" t="s">
        <v>71</v>
      </c>
      <c r="I64" s="14" t="n">
        <v>31.519</v>
      </c>
      <c r="J64" s="15" t="n">
        <v>322.22</v>
      </c>
      <c r="K64" s="6" t="n">
        <v>10155.89</v>
      </c>
      <c r="L64" s="6" t="n">
        <v>3386.83</v>
      </c>
      <c r="M64" s="6" t="n">
        <v>6769.06</v>
      </c>
      <c r="N64" s="14" t="n">
        <v>31.961</v>
      </c>
      <c r="O64" s="15" t="n">
        <v>356.02</v>
      </c>
      <c r="P64" s="6" t="n">
        <v>11378.68</v>
      </c>
      <c r="Q64" s="6" t="n">
        <v>3529.36</v>
      </c>
      <c r="R64" s="6" t="n">
        <v>7849.32</v>
      </c>
      <c r="S64" s="8" t="n">
        <f aca="false">IF(Q64=0,"",R64/Q64)</f>
        <v>2.22400661876374</v>
      </c>
      <c r="T64" s="8" t="n">
        <f aca="false">IF(OR(J64=0,O64=0,J64="",O64="",B64="CASH"),"",O64/J64-1)</f>
        <v>0.104897275153622</v>
      </c>
      <c r="U64" s="8" t="n">
        <f aca="false">P64/$P$86</f>
        <v>0.00877790837566922</v>
      </c>
      <c r="V64" s="6" t="n">
        <v>191.76</v>
      </c>
      <c r="W64" s="8" t="n">
        <f aca="false">IF(P64=0,"",V64/P64)</f>
        <v>0.0168525698938717</v>
      </c>
    </row>
    <row r="65" customFormat="false" ht="15" hidden="false" customHeight="false" outlineLevel="0" collapsed="false">
      <c r="A65" s="4" t="s">
        <v>198</v>
      </c>
      <c r="B65" s="4" t="s">
        <v>209</v>
      </c>
      <c r="C65" s="4" t="s">
        <v>210</v>
      </c>
      <c r="D65" s="4" t="s">
        <v>63</v>
      </c>
      <c r="E65" s="4" t="s">
        <v>160</v>
      </c>
      <c r="F65" s="4" t="s">
        <v>65</v>
      </c>
      <c r="G65" s="4" t="s">
        <v>103</v>
      </c>
      <c r="H65" s="4" t="s">
        <v>71</v>
      </c>
      <c r="I65" s="14" t="n">
        <v>64.121</v>
      </c>
      <c r="J65" s="15" t="n">
        <v>120.34</v>
      </c>
      <c r="K65" s="6" t="n">
        <v>7716.27</v>
      </c>
      <c r="L65" s="6" t="n">
        <v>5217.22</v>
      </c>
      <c r="M65" s="6" t="n">
        <v>2499.05</v>
      </c>
      <c r="N65" s="14" t="n">
        <v>65.004</v>
      </c>
      <c r="O65" s="15" t="n">
        <v>160.95</v>
      </c>
      <c r="P65" s="6" t="n">
        <v>10462.38</v>
      </c>
      <c r="Q65" s="6" t="n">
        <v>5349.76</v>
      </c>
      <c r="R65" s="6" t="n">
        <v>5112.62</v>
      </c>
      <c r="S65" s="8" t="n">
        <f aca="false">IF(Q65=0,"",R65/Q65)</f>
        <v>0.95567277784424</v>
      </c>
      <c r="T65" s="8" t="n">
        <f aca="false">IF(OR(J65=0,O65=0,J65="",O65="",B65="CASH"),"",O65/J65-1)</f>
        <v>0.337460528502576</v>
      </c>
      <c r="U65" s="8" t="n">
        <f aca="false">P65/$P$86</f>
        <v>0.00807104277749564</v>
      </c>
      <c r="V65" s="6" t="n">
        <v>267.82</v>
      </c>
      <c r="W65" s="8" t="n">
        <f aca="false">IF(P65=0,"",V65/P65)</f>
        <v>0.0255983820125058</v>
      </c>
    </row>
    <row r="66" customFormat="false" ht="15" hidden="false" customHeight="false" outlineLevel="0" collapsed="false">
      <c r="A66" s="4" t="s">
        <v>198</v>
      </c>
      <c r="B66" s="4" t="s">
        <v>211</v>
      </c>
      <c r="C66" s="4" t="s">
        <v>212</v>
      </c>
      <c r="D66" s="4" t="s">
        <v>63</v>
      </c>
      <c r="E66" s="4" t="s">
        <v>213</v>
      </c>
      <c r="F66" s="4" t="s">
        <v>65</v>
      </c>
      <c r="G66" s="4" t="s">
        <v>103</v>
      </c>
      <c r="H66" s="4" t="s">
        <v>71</v>
      </c>
      <c r="I66" s="14" t="n">
        <v>110.985</v>
      </c>
      <c r="J66" s="15" t="n">
        <v>80.28</v>
      </c>
      <c r="K66" s="6" t="n">
        <v>8909.9</v>
      </c>
      <c r="L66" s="6" t="n">
        <v>4861.95</v>
      </c>
      <c r="M66" s="6" t="n">
        <v>4047.95</v>
      </c>
      <c r="N66" s="14" t="n">
        <v>112.541</v>
      </c>
      <c r="O66" s="15" t="n">
        <v>82.34</v>
      </c>
      <c r="P66" s="6" t="n">
        <v>9266.65</v>
      </c>
      <c r="Q66" s="6" t="n">
        <v>5000.75</v>
      </c>
      <c r="R66" s="6" t="n">
        <v>4265.9</v>
      </c>
      <c r="S66" s="8" t="n">
        <f aca="false">IF(Q66=0,"",R66/Q66)</f>
        <v>0.853052042193671</v>
      </c>
      <c r="T66" s="8" t="n">
        <f aca="false">IF(OR(J66=0,O66=0,J66="",O66="",B66="CASH"),"",O66/J66-1)</f>
        <v>0.0256601893373194</v>
      </c>
      <c r="U66" s="8" t="n">
        <f aca="false">P66/$P$86</f>
        <v>0.00714861518641839</v>
      </c>
      <c r="V66" s="6" t="n">
        <v>280.57</v>
      </c>
      <c r="W66" s="8" t="n">
        <f aca="false">IF(P66=0,"",V66/P66)</f>
        <v>0.0302773925852385</v>
      </c>
    </row>
    <row r="67" customFormat="false" ht="15" hidden="false" customHeight="false" outlineLevel="0" collapsed="false">
      <c r="A67" s="4" t="s">
        <v>198</v>
      </c>
      <c r="B67" s="4" t="s">
        <v>131</v>
      </c>
      <c r="C67" s="4" t="s">
        <v>132</v>
      </c>
      <c r="D67" s="4" t="s">
        <v>63</v>
      </c>
      <c r="E67" s="4" t="s">
        <v>133</v>
      </c>
      <c r="F67" s="4" t="s">
        <v>65</v>
      </c>
      <c r="G67" s="4" t="s">
        <v>103</v>
      </c>
      <c r="H67" s="4" t="s">
        <v>71</v>
      </c>
      <c r="I67" s="14" t="n">
        <v>102.916</v>
      </c>
      <c r="J67" s="15" t="n">
        <v>69.91</v>
      </c>
      <c r="K67" s="6" t="n">
        <v>7194.83</v>
      </c>
      <c r="L67" s="6" t="n">
        <v>4983.01</v>
      </c>
      <c r="M67" s="6" t="n">
        <v>2211.82</v>
      </c>
      <c r="N67" s="14" t="n">
        <v>104.304</v>
      </c>
      <c r="O67" s="15" t="n">
        <v>88.67</v>
      </c>
      <c r="P67" s="6" t="n">
        <v>9248.63</v>
      </c>
      <c r="Q67" s="6" t="n">
        <v>5092.48</v>
      </c>
      <c r="R67" s="6" t="n">
        <v>4156.15</v>
      </c>
      <c r="S67" s="8" t="n">
        <f aca="false">IF(Q67=0,"",R67/Q67)</f>
        <v>0.816134771270579</v>
      </c>
      <c r="T67" s="8" t="n">
        <f aca="false">IF(OR(J67=0,O67=0,J67="",O67="",B67="CASH"),"",O67/J67-1)</f>
        <v>0.268345015019311</v>
      </c>
      <c r="U67" s="8" t="n">
        <f aca="false">P67/$P$86</f>
        <v>0.00713471393346729</v>
      </c>
      <c r="V67" s="6" t="n">
        <v>221.12</v>
      </c>
      <c r="W67" s="8" t="n">
        <f aca="false">IF(P67=0,"",V67/P67)</f>
        <v>0.0239084058936297</v>
      </c>
    </row>
    <row r="68" customFormat="false" ht="15" hidden="false" customHeight="false" outlineLevel="0" collapsed="false">
      <c r="A68" s="4" t="s">
        <v>198</v>
      </c>
      <c r="B68" s="4" t="s">
        <v>214</v>
      </c>
      <c r="C68" s="4" t="s">
        <v>215</v>
      </c>
      <c r="D68" s="4" t="s">
        <v>63</v>
      </c>
      <c r="E68" s="4" t="s">
        <v>178</v>
      </c>
      <c r="F68" s="4" t="s">
        <v>65</v>
      </c>
      <c r="G68" s="4" t="s">
        <v>103</v>
      </c>
      <c r="H68" s="4" t="s">
        <v>71</v>
      </c>
      <c r="I68" s="14" t="n">
        <v>22.947</v>
      </c>
      <c r="J68" s="15" t="n">
        <v>336.66</v>
      </c>
      <c r="K68" s="6" t="n">
        <v>7725.17</v>
      </c>
      <c r="L68" s="6" t="n">
        <v>4312.04</v>
      </c>
      <c r="M68" s="6" t="n">
        <v>3413.13</v>
      </c>
      <c r="N68" s="14" t="n">
        <v>23.244</v>
      </c>
      <c r="O68" s="15" t="n">
        <v>371.35</v>
      </c>
      <c r="P68" s="6" t="n">
        <v>8631.77</v>
      </c>
      <c r="Q68" s="6" t="n">
        <v>4419.91</v>
      </c>
      <c r="R68" s="6" t="n">
        <v>4211.86</v>
      </c>
      <c r="S68" s="8" t="n">
        <f aca="false">IF(Q68=0,"",R68/Q68)</f>
        <v>0.952928905792199</v>
      </c>
      <c r="T68" s="8" t="n">
        <f aca="false">IF(OR(J68=0,O68=0,J68="",O68="",B68="CASH"),"",O68/J68-1)</f>
        <v>0.103041644388998</v>
      </c>
      <c r="U68" s="8" t="n">
        <f aca="false">P68/$P$86</f>
        <v>0.00665884673616362</v>
      </c>
      <c r="V68" s="6" t="n">
        <v>147.83</v>
      </c>
      <c r="W68" s="8" t="n">
        <f aca="false">IF(P68=0,"",V68/P68)</f>
        <v>0.0171262672661575</v>
      </c>
    </row>
    <row r="69" customFormat="false" ht="15" hidden="false" customHeight="false" outlineLevel="0" collapsed="false">
      <c r="A69" s="4" t="s">
        <v>198</v>
      </c>
      <c r="B69" s="4" t="s">
        <v>172</v>
      </c>
      <c r="C69" s="4" t="s">
        <v>173</v>
      </c>
      <c r="D69" s="4" t="s">
        <v>63</v>
      </c>
      <c r="E69" s="4" t="s">
        <v>115</v>
      </c>
      <c r="F69" s="4" t="s">
        <v>65</v>
      </c>
      <c r="G69" s="4" t="s">
        <v>103</v>
      </c>
      <c r="H69" s="4" t="s">
        <v>71</v>
      </c>
      <c r="I69" s="14" t="n">
        <v>25.746</v>
      </c>
      <c r="J69" s="15" t="n">
        <v>344.1</v>
      </c>
      <c r="K69" s="6" t="n">
        <v>8859.13</v>
      </c>
      <c r="L69" s="6" t="n">
        <v>5684.3</v>
      </c>
      <c r="M69" s="6" t="n">
        <v>3174.83</v>
      </c>
      <c r="N69" s="14" t="n">
        <v>26.105</v>
      </c>
      <c r="O69" s="15" t="n">
        <v>327.83</v>
      </c>
      <c r="P69" s="6" t="n">
        <v>8558</v>
      </c>
      <c r="Q69" s="6" t="n">
        <v>5804.7</v>
      </c>
      <c r="R69" s="6" t="n">
        <v>2753.3</v>
      </c>
      <c r="S69" s="8" t="n">
        <f aca="false">IF(Q69=0,"",R69/Q69)</f>
        <v>0.47432253174152</v>
      </c>
      <c r="T69" s="8" t="n">
        <f aca="false">IF(OR(J69=0,O69=0,J69="",O69="",B69="CASH"),"",O69/J69-1)</f>
        <v>-0.0472827666376054</v>
      </c>
      <c r="U69" s="8" t="n">
        <f aca="false">P69/$P$86</f>
        <v>0.0066019379997484</v>
      </c>
      <c r="V69" s="6" t="n">
        <v>243.3</v>
      </c>
      <c r="W69" s="8" t="n">
        <f aca="false">IF(P69=0,"",V69/P69)</f>
        <v>0.0284295396120589</v>
      </c>
    </row>
    <row r="70" customFormat="false" ht="15" hidden="false" customHeight="false" outlineLevel="0" collapsed="false">
      <c r="A70" s="4" t="s">
        <v>198</v>
      </c>
      <c r="B70" s="4" t="s">
        <v>216</v>
      </c>
      <c r="C70" s="4" t="s">
        <v>217</v>
      </c>
      <c r="D70" s="4" t="s">
        <v>106</v>
      </c>
      <c r="E70" s="4" t="s">
        <v>218</v>
      </c>
      <c r="F70" s="4" t="s">
        <v>65</v>
      </c>
      <c r="G70" s="4" t="s">
        <v>103</v>
      </c>
      <c r="H70" s="4" t="s">
        <v>71</v>
      </c>
      <c r="I70" s="14" t="n">
        <v>24.037</v>
      </c>
      <c r="J70" s="15" t="n">
        <v>247.02</v>
      </c>
      <c r="K70" s="6" t="n">
        <v>5937.6</v>
      </c>
      <c r="L70" s="6" t="n">
        <v>5804.96</v>
      </c>
      <c r="M70" s="6" t="n">
        <v>132.64</v>
      </c>
      <c r="N70" s="14" t="n">
        <v>24.482</v>
      </c>
      <c r="O70" s="15" t="n">
        <v>309.46</v>
      </c>
      <c r="P70" s="6" t="n">
        <v>7576.17</v>
      </c>
      <c r="Q70" s="6" t="n">
        <v>5935.82</v>
      </c>
      <c r="R70" s="6" t="n">
        <v>1640.35</v>
      </c>
      <c r="S70" s="8" t="n">
        <f aca="false">IF(Q70=0,"",R70/Q70)</f>
        <v>0.276347665528941</v>
      </c>
      <c r="T70" s="8" t="n">
        <f aca="false">IF(OR(J70=0,O70=0,J70="",O70="",B70="CASH"),"",O70/J70-1)</f>
        <v>0.252773054813375</v>
      </c>
      <c r="U70" s="8" t="n">
        <f aca="false">P70/$P$86</f>
        <v>0.00584452028693081</v>
      </c>
      <c r="V70" s="6" t="n">
        <v>177.25</v>
      </c>
      <c r="W70" s="8" t="n">
        <f aca="false">IF(P70=0,"",V70/P70)</f>
        <v>0.0233957263366582</v>
      </c>
    </row>
    <row r="71" customFormat="false" ht="15" hidden="false" customHeight="false" outlineLevel="0" collapsed="false">
      <c r="A71" s="4" t="s">
        <v>198</v>
      </c>
      <c r="B71" s="4" t="s">
        <v>219</v>
      </c>
      <c r="C71" s="4" t="s">
        <v>220</v>
      </c>
      <c r="D71" s="4" t="s">
        <v>63</v>
      </c>
      <c r="E71" s="4" t="s">
        <v>142</v>
      </c>
      <c r="F71" s="4" t="s">
        <v>65</v>
      </c>
      <c r="G71" s="4" t="s">
        <v>103</v>
      </c>
      <c r="H71" s="4" t="s">
        <v>71</v>
      </c>
      <c r="I71" s="14" t="n">
        <v>18.74</v>
      </c>
      <c r="J71" s="15" t="n">
        <v>350.71</v>
      </c>
      <c r="K71" s="6" t="n">
        <v>6572.24</v>
      </c>
      <c r="L71" s="6" t="n">
        <v>3232.69</v>
      </c>
      <c r="M71" s="6" t="n">
        <v>3339.55</v>
      </c>
      <c r="N71" s="14" t="n">
        <v>18.818</v>
      </c>
      <c r="O71" s="15" t="n">
        <v>379.37</v>
      </c>
      <c r="P71" s="6" t="n">
        <v>7138.98</v>
      </c>
      <c r="Q71" s="6" t="n">
        <v>3257.83</v>
      </c>
      <c r="R71" s="6" t="n">
        <v>3881.15</v>
      </c>
      <c r="S71" s="8" t="n">
        <f aca="false">IF(Q71=0,"",R71/Q71)</f>
        <v>1.19132981156168</v>
      </c>
      <c r="T71" s="8" t="n">
        <f aca="false">IF(OR(J71=0,O71=0,J71="",O71="",B71="CASH"),"",O71/J71-1)</f>
        <v>0.0817199395511963</v>
      </c>
      <c r="U71" s="8" t="n">
        <f aca="false">P71/$P$86</f>
        <v>0.00550725675875717</v>
      </c>
      <c r="V71" s="6" t="n">
        <v>50.43</v>
      </c>
      <c r="W71" s="8" t="n">
        <f aca="false">IF(P71=0,"",V71/P71)</f>
        <v>0.00706403435784944</v>
      </c>
    </row>
    <row r="72" customFormat="false" ht="15" hidden="false" customHeight="false" outlineLevel="0" collapsed="false">
      <c r="A72" s="4" t="s">
        <v>198</v>
      </c>
      <c r="B72" s="4" t="s">
        <v>167</v>
      </c>
      <c r="C72" s="4" t="s">
        <v>168</v>
      </c>
      <c r="D72" s="4" t="s">
        <v>127</v>
      </c>
      <c r="E72" s="4" t="s">
        <v>157</v>
      </c>
      <c r="F72" s="4" t="s">
        <v>65</v>
      </c>
      <c r="G72" s="4" t="s">
        <v>103</v>
      </c>
      <c r="H72" s="4" t="s">
        <v>71</v>
      </c>
      <c r="I72" s="14" t="n">
        <v>57.714</v>
      </c>
      <c r="J72" s="15" t="n">
        <v>96.06</v>
      </c>
      <c r="K72" s="6" t="n">
        <v>5543.98</v>
      </c>
      <c r="L72" s="6" t="n">
        <v>4706.36</v>
      </c>
      <c r="M72" s="6" t="n">
        <v>837.62</v>
      </c>
      <c r="N72" s="14" t="n">
        <v>59.122</v>
      </c>
      <c r="O72" s="15" t="n">
        <v>90.65</v>
      </c>
      <c r="P72" s="6" t="n">
        <v>5359.4</v>
      </c>
      <c r="Q72" s="6" t="n">
        <v>4830.56</v>
      </c>
      <c r="R72" s="6" t="n">
        <v>528.84</v>
      </c>
      <c r="S72" s="8" t="n">
        <f aca="false">IF(Q72=0,"",R72/Q72)</f>
        <v>0.109477990129509</v>
      </c>
      <c r="T72" s="8" t="n">
        <f aca="false">IF(OR(J72=0,O72=0,J72="",O72="",B72="CASH"),"",O72/J72-1)</f>
        <v>-0.0563189673120966</v>
      </c>
      <c r="U72" s="8" t="n">
        <f aca="false">P72/$P$86</f>
        <v>0.00413442702919509</v>
      </c>
      <c r="V72" s="6" t="n">
        <v>170.27</v>
      </c>
      <c r="W72" s="8" t="n">
        <f aca="false">IF(P72=0,"",V72/P72)</f>
        <v>0.0317703474269508</v>
      </c>
    </row>
    <row r="73" customFormat="false" ht="15" hidden="false" customHeight="false" outlineLevel="0" collapsed="false">
      <c r="A73" s="4" t="s">
        <v>198</v>
      </c>
      <c r="B73" s="4" t="s">
        <v>221</v>
      </c>
      <c r="C73" s="4" t="s">
        <v>222</v>
      </c>
      <c r="D73" s="4" t="s">
        <v>63</v>
      </c>
      <c r="E73" s="4" t="s">
        <v>133</v>
      </c>
      <c r="F73" s="4" t="s">
        <v>65</v>
      </c>
      <c r="G73" s="4" t="s">
        <v>103</v>
      </c>
      <c r="H73" s="4" t="s">
        <v>71</v>
      </c>
      <c r="I73" s="14" t="n">
        <v>34.079</v>
      </c>
      <c r="J73" s="15" t="n">
        <v>143.31</v>
      </c>
      <c r="K73" s="6" t="n">
        <v>4883.82</v>
      </c>
      <c r="L73" s="6" t="n">
        <v>5268.78</v>
      </c>
      <c r="M73" s="6" t="n">
        <v>-384.96</v>
      </c>
      <c r="N73" s="14" t="n">
        <v>34.826</v>
      </c>
      <c r="O73" s="15" t="n">
        <v>145.12</v>
      </c>
      <c r="P73" s="6" t="n">
        <v>5053.95</v>
      </c>
      <c r="Q73" s="6" t="n">
        <v>5379.75</v>
      </c>
      <c r="R73" s="6" t="n">
        <v>-325.8</v>
      </c>
      <c r="S73" s="8" t="n">
        <f aca="false">IF(Q73=0,"",R73/Q73)</f>
        <v>-0.06056043496445</v>
      </c>
      <c r="T73" s="8" t="n">
        <f aca="false">IF(OR(J73=0,O73=0,J73="",O73="",B73="CASH"),"",O73/J73-1)</f>
        <v>0.0126299630172353</v>
      </c>
      <c r="U73" s="8" t="n">
        <f aca="false">P73/$P$86</f>
        <v>0.00389879230589255</v>
      </c>
      <c r="V73" s="6" t="n">
        <v>151.63</v>
      </c>
      <c r="W73" s="8" t="n">
        <f aca="false">IF(P73=0,"",V73/P73)</f>
        <v>0.030002275447917</v>
      </c>
    </row>
    <row r="74" customFormat="false" ht="15" hidden="false" customHeight="false" outlineLevel="0" collapsed="false">
      <c r="A74" s="4" t="s">
        <v>198</v>
      </c>
      <c r="B74" s="4" t="s">
        <v>223</v>
      </c>
      <c r="C74" s="4" t="s">
        <v>224</v>
      </c>
      <c r="D74" s="4" t="s">
        <v>63</v>
      </c>
      <c r="E74" s="4" t="s">
        <v>142</v>
      </c>
      <c r="F74" s="4" t="s">
        <v>65</v>
      </c>
      <c r="G74" s="4" t="s">
        <v>103</v>
      </c>
      <c r="H74" s="4" t="s">
        <v>67</v>
      </c>
      <c r="I74" s="14"/>
      <c r="J74" s="15"/>
      <c r="K74" s="6" t="n">
        <v>0</v>
      </c>
      <c r="L74" s="6" t="n">
        <v>0</v>
      </c>
      <c r="M74" s="6" t="n">
        <v>0</v>
      </c>
      <c r="N74" s="14" t="n">
        <v>22.354</v>
      </c>
      <c r="O74" s="15" t="n">
        <v>189.8</v>
      </c>
      <c r="P74" s="6" t="n">
        <v>4242.69</v>
      </c>
      <c r="Q74" s="6" t="n">
        <v>3977.93</v>
      </c>
      <c r="R74" s="6" t="n">
        <v>264.76</v>
      </c>
      <c r="S74" s="8" t="n">
        <f aca="false">IF(Q74=0,"",R74/Q74)</f>
        <v>0.0665572295138426</v>
      </c>
      <c r="T74" s="8" t="str">
        <f aca="false">IF(OR(J74=0,O74=0,J74="",O74="",B74="CASH"),"",O74/J74-1)</f>
        <v/>
      </c>
      <c r="U74" s="8" t="n">
        <f aca="false">P74/$P$86</f>
        <v>0.00327295820660815</v>
      </c>
      <c r="V74" s="6" t="n">
        <v>88.52</v>
      </c>
      <c r="W74" s="8" t="n">
        <f aca="false">IF(P74=0,"",V74/P74)</f>
        <v>0.0208641215832408</v>
      </c>
    </row>
    <row r="75" customFormat="false" ht="15" hidden="false" customHeight="false" outlineLevel="0" collapsed="false">
      <c r="A75" s="4" t="s">
        <v>198</v>
      </c>
      <c r="B75" s="4" t="s">
        <v>174</v>
      </c>
      <c r="C75" s="4" t="s">
        <v>175</v>
      </c>
      <c r="D75" s="4" t="s">
        <v>63</v>
      </c>
      <c r="E75" s="4" t="s">
        <v>115</v>
      </c>
      <c r="F75" s="4" t="s">
        <v>65</v>
      </c>
      <c r="G75" s="4" t="s">
        <v>103</v>
      </c>
      <c r="H75" s="4" t="s">
        <v>71</v>
      </c>
      <c r="I75" s="14" t="n">
        <v>14.486</v>
      </c>
      <c r="J75" s="15" t="n">
        <v>305.63</v>
      </c>
      <c r="K75" s="6" t="n">
        <v>4427.36</v>
      </c>
      <c r="L75" s="6" t="n">
        <v>3328.72</v>
      </c>
      <c r="M75" s="6" t="n">
        <v>1098.64</v>
      </c>
      <c r="N75" s="14" t="n">
        <v>14.662</v>
      </c>
      <c r="O75" s="15" t="n">
        <v>263.54</v>
      </c>
      <c r="P75" s="6" t="n">
        <v>3864.1</v>
      </c>
      <c r="Q75" s="6" t="n">
        <v>3382.76</v>
      </c>
      <c r="R75" s="6" t="n">
        <v>481.34</v>
      </c>
      <c r="S75" s="8" t="n">
        <f aca="false">IF(Q75=0,"",R75/Q75)</f>
        <v>0.142292092847261</v>
      </c>
      <c r="T75" s="8" t="n">
        <f aca="false">IF(OR(J75=0,O75=0,J75="",O75="",B75="CASH"),"",O75/J75-1)</f>
        <v>-0.1377155383961</v>
      </c>
      <c r="U75" s="8" t="n">
        <f aca="false">P75/$P$86</f>
        <v>0.0029809007507394</v>
      </c>
      <c r="V75" s="6" t="n">
        <v>109.09</v>
      </c>
      <c r="W75" s="8" t="n">
        <f aca="false">IF(P75=0,"",V75/P75)</f>
        <v>0.0282316710230067</v>
      </c>
    </row>
    <row r="76" customFormat="false" ht="15" hidden="false" customHeight="false" outlineLevel="0" collapsed="false">
      <c r="A76" s="4" t="s">
        <v>198</v>
      </c>
      <c r="B76" s="4" t="s">
        <v>225</v>
      </c>
      <c r="C76" s="4" t="s">
        <v>226</v>
      </c>
      <c r="D76" s="4" t="s">
        <v>63</v>
      </c>
      <c r="E76" s="4" t="s">
        <v>213</v>
      </c>
      <c r="F76" s="4" t="s">
        <v>65</v>
      </c>
      <c r="G76" s="4" t="s">
        <v>103</v>
      </c>
      <c r="H76" s="4" t="s">
        <v>71</v>
      </c>
      <c r="I76" s="14" t="n">
        <v>40.293</v>
      </c>
      <c r="J76" s="15" t="n">
        <v>87.2</v>
      </c>
      <c r="K76" s="6" t="n">
        <v>3513.54</v>
      </c>
      <c r="L76" s="6" t="n">
        <v>3167.77</v>
      </c>
      <c r="M76" s="6" t="n">
        <v>345.77</v>
      </c>
      <c r="N76" s="14" t="n">
        <v>40.937</v>
      </c>
      <c r="O76" s="15" t="n">
        <v>88</v>
      </c>
      <c r="P76" s="6" t="n">
        <v>3602.46</v>
      </c>
      <c r="Q76" s="6" t="n">
        <v>3228.45</v>
      </c>
      <c r="R76" s="6" t="n">
        <v>374.01</v>
      </c>
      <c r="S76" s="8" t="n">
        <f aca="false">IF(Q76=0,"",R76/Q76)</f>
        <v>0.115848162430888</v>
      </c>
      <c r="T76" s="8" t="n">
        <f aca="false">IF(OR(J76=0,O76=0,J76="",O76="",B76="CASH"),"",O76/J76-1)</f>
        <v>0.00917431192660545</v>
      </c>
      <c r="U76" s="8" t="n">
        <f aca="false">P76/$P$86</f>
        <v>0.00277906258081019</v>
      </c>
      <c r="V76" s="6" t="n">
        <v>124.45</v>
      </c>
      <c r="W76" s="8" t="n">
        <f aca="false">IF(P76=0,"",V76/P76)</f>
        <v>0.0345458381217279</v>
      </c>
    </row>
    <row r="77" customFormat="false" ht="15" hidden="false" customHeight="false" outlineLevel="0" collapsed="false">
      <c r="A77" s="4" t="s">
        <v>198</v>
      </c>
      <c r="B77" s="4" t="s">
        <v>227</v>
      </c>
      <c r="C77" s="4" t="s">
        <v>228</v>
      </c>
      <c r="D77" s="4" t="s">
        <v>106</v>
      </c>
      <c r="E77" s="4" t="s">
        <v>218</v>
      </c>
      <c r="F77" s="4" t="s">
        <v>65</v>
      </c>
      <c r="G77" s="4" t="s">
        <v>103</v>
      </c>
      <c r="H77" s="4" t="s">
        <v>71</v>
      </c>
      <c r="I77" s="14" t="n">
        <v>12.444</v>
      </c>
      <c r="J77" s="15" t="n">
        <v>262.52</v>
      </c>
      <c r="K77" s="6" t="n">
        <v>3266.8</v>
      </c>
      <c r="L77" s="6" t="n">
        <v>2046.51</v>
      </c>
      <c r="M77" s="6" t="n">
        <v>1220.29</v>
      </c>
      <c r="N77" s="14" t="n">
        <v>12.544</v>
      </c>
      <c r="O77" s="15" t="n">
        <v>283.2</v>
      </c>
      <c r="P77" s="6" t="n">
        <v>3552.43</v>
      </c>
      <c r="Q77" s="6" t="n">
        <v>2073.83</v>
      </c>
      <c r="R77" s="6" t="n">
        <v>1478.6</v>
      </c>
      <c r="S77" s="8" t="n">
        <f aca="false">IF(Q77=0,"",R77/Q77)</f>
        <v>0.712980331078247</v>
      </c>
      <c r="T77" s="8" t="n">
        <f aca="false">IF(OR(J77=0,O77=0,J77="",O77="",B77="CASH"),"",O77/J77-1)</f>
        <v>0.0787749504799635</v>
      </c>
      <c r="U77" s="8" t="n">
        <f aca="false">P77/$P$86</f>
        <v>0.00274046770372122</v>
      </c>
      <c r="V77" s="6" t="n">
        <v>36.63</v>
      </c>
      <c r="W77" s="8" t="n">
        <f aca="false">IF(P77=0,"",V77/P77)</f>
        <v>0.0103112517347281</v>
      </c>
    </row>
    <row r="78" customFormat="false" ht="15" hidden="false" customHeight="false" outlineLevel="0" collapsed="false">
      <c r="A78" s="4" t="s">
        <v>198</v>
      </c>
      <c r="B78" s="4" t="s">
        <v>229</v>
      </c>
      <c r="C78" s="4" t="s">
        <v>230</v>
      </c>
      <c r="D78" s="4" t="s">
        <v>63</v>
      </c>
      <c r="E78" s="4" t="s">
        <v>122</v>
      </c>
      <c r="F78" s="4" t="s">
        <v>65</v>
      </c>
      <c r="G78" s="4" t="s">
        <v>103</v>
      </c>
      <c r="H78" s="4" t="s">
        <v>71</v>
      </c>
      <c r="I78" s="14" t="n">
        <v>18.705</v>
      </c>
      <c r="J78" s="15" t="n">
        <v>203.04</v>
      </c>
      <c r="K78" s="6" t="n">
        <v>3797.88</v>
      </c>
      <c r="L78" s="6" t="n">
        <v>3140.22</v>
      </c>
      <c r="M78" s="6" t="n">
        <v>657.66</v>
      </c>
      <c r="N78" s="14" t="n">
        <v>18.898</v>
      </c>
      <c r="O78" s="15" t="n">
        <v>180.44</v>
      </c>
      <c r="P78" s="6" t="n">
        <v>3410.01</v>
      </c>
      <c r="Q78" s="6" t="n">
        <v>3178.47</v>
      </c>
      <c r="R78" s="6" t="n">
        <v>231.54</v>
      </c>
      <c r="S78" s="8" t="n">
        <f aca="false">IF(Q78=0,"",R78/Q78)</f>
        <v>0.0728463694796553</v>
      </c>
      <c r="T78" s="8" t="n">
        <f aca="false">IF(OR(J78=0,O78=0,J78="",O78="",B78="CASH"),"",O78/J78-1)</f>
        <v>-0.111308116627266</v>
      </c>
      <c r="U78" s="8" t="n">
        <f aca="false">P78/$P$86</f>
        <v>0.00263059997645736</v>
      </c>
      <c r="V78" s="6" t="n">
        <v>77.11</v>
      </c>
      <c r="W78" s="8" t="n">
        <f aca="false">IF(P78=0,"",V78/P78)</f>
        <v>0.0226128369125017</v>
      </c>
    </row>
    <row r="79" customFormat="false" ht="15" hidden="false" customHeight="false" outlineLevel="0" collapsed="false">
      <c r="A79" s="4" t="s">
        <v>198</v>
      </c>
      <c r="B79" s="4" t="s">
        <v>176</v>
      </c>
      <c r="C79" s="4" t="s">
        <v>177</v>
      </c>
      <c r="D79" s="4" t="s">
        <v>106</v>
      </c>
      <c r="E79" s="4" t="s">
        <v>178</v>
      </c>
      <c r="F79" s="4" t="s">
        <v>65</v>
      </c>
      <c r="G79" s="4" t="s">
        <v>103</v>
      </c>
      <c r="H79" s="4" t="s">
        <v>71</v>
      </c>
      <c r="I79" s="14" t="n">
        <v>21.757</v>
      </c>
      <c r="J79" s="15" t="n">
        <v>195.09</v>
      </c>
      <c r="K79" s="6" t="n">
        <v>4244.65</v>
      </c>
      <c r="L79" s="6" t="n">
        <v>4441.54</v>
      </c>
      <c r="M79" s="6" t="n">
        <v>-196.89</v>
      </c>
      <c r="N79" s="14" t="n">
        <v>10</v>
      </c>
      <c r="O79" s="15" t="n">
        <v>213.53</v>
      </c>
      <c r="P79" s="6" t="n">
        <v>2135.3</v>
      </c>
      <c r="Q79" s="6" t="n">
        <v>2101.43</v>
      </c>
      <c r="R79" s="6" t="n">
        <v>33.87</v>
      </c>
      <c r="S79" s="8" t="n">
        <f aca="false">IF(Q79=0,"",R79/Q79)</f>
        <v>0.016117596113123</v>
      </c>
      <c r="T79" s="8" t="n">
        <f aca="false">IF(OR(J79=0,O79=0,J79="",O79="",B79="CASH"),"",O79/J79-1)</f>
        <v>0.094520477728228</v>
      </c>
      <c r="U79" s="8" t="n">
        <f aca="false">P79/$P$86</f>
        <v>0.00164724447427702</v>
      </c>
      <c r="V79" s="6" t="n">
        <v>28</v>
      </c>
      <c r="W79" s="8" t="n">
        <f aca="false">IF(P79=0,"",V79/P79)</f>
        <v>0.013112911534679</v>
      </c>
    </row>
    <row r="80" customFormat="false" ht="15" hidden="false" customHeight="false" outlineLevel="0" collapsed="false">
      <c r="A80" s="4" t="s">
        <v>198</v>
      </c>
      <c r="B80" s="4" t="s">
        <v>179</v>
      </c>
      <c r="C80" s="4" t="s">
        <v>180</v>
      </c>
      <c r="D80" s="4" t="s">
        <v>106</v>
      </c>
      <c r="E80" s="4" t="s">
        <v>178</v>
      </c>
      <c r="F80" s="4" t="s">
        <v>65</v>
      </c>
      <c r="G80" s="4" t="s">
        <v>103</v>
      </c>
      <c r="H80" s="4" t="s">
        <v>67</v>
      </c>
      <c r="I80" s="14"/>
      <c r="J80" s="15"/>
      <c r="K80" s="6" t="n">
        <v>0</v>
      </c>
      <c r="L80" s="6" t="n">
        <v>0</v>
      </c>
      <c r="M80" s="6" t="n">
        <v>0</v>
      </c>
      <c r="N80" s="14" t="n">
        <v>10</v>
      </c>
      <c r="O80" s="15" t="n">
        <v>158.11</v>
      </c>
      <c r="P80" s="6" t="n">
        <v>1581.1</v>
      </c>
      <c r="Q80" s="6" t="n">
        <v>1984.43</v>
      </c>
      <c r="R80" s="6" t="n">
        <v>-403.33</v>
      </c>
      <c r="S80" s="8" t="n">
        <f aca="false">IF(Q80=0,"",R80/Q80)</f>
        <v>-0.203247280075387</v>
      </c>
      <c r="T80" s="8" t="str">
        <f aca="false">IF(OR(J80=0,O80=0,J80="",O80="",B80="CASH"),"",O80/J80-1)</f>
        <v/>
      </c>
      <c r="U80" s="8" t="n">
        <f aca="false">P80/$P$86</f>
        <v>0.00121971537408299</v>
      </c>
      <c r="V80" s="6" t="n">
        <v>0</v>
      </c>
      <c r="W80" s="8" t="n">
        <f aca="false">IF(P80=0,"",V80/P80)</f>
        <v>0</v>
      </c>
    </row>
    <row r="81" customFormat="false" ht="15" hidden="false" customHeight="false" outlineLevel="0" collapsed="false">
      <c r="A81" s="4" t="s">
        <v>198</v>
      </c>
      <c r="B81" s="4" t="s">
        <v>231</v>
      </c>
      <c r="C81" s="4" t="s">
        <v>232</v>
      </c>
      <c r="D81" s="4" t="s">
        <v>63</v>
      </c>
      <c r="E81" s="4" t="s">
        <v>178</v>
      </c>
      <c r="F81" s="4" t="s">
        <v>65</v>
      </c>
      <c r="G81" s="4" t="s">
        <v>103</v>
      </c>
      <c r="H81" s="4" t="s">
        <v>67</v>
      </c>
      <c r="I81" s="14"/>
      <c r="J81" s="15"/>
      <c r="K81" s="6" t="n">
        <v>0</v>
      </c>
      <c r="L81" s="6" t="n">
        <v>0</v>
      </c>
      <c r="M81" s="6" t="n">
        <v>0</v>
      </c>
      <c r="N81" s="14" t="n">
        <v>7.06</v>
      </c>
      <c r="O81" s="15" t="n">
        <v>218.92</v>
      </c>
      <c r="P81" s="6" t="n">
        <v>1545.58</v>
      </c>
      <c r="Q81" s="6" t="n">
        <v>1674.4</v>
      </c>
      <c r="R81" s="6" t="n">
        <v>-128.82</v>
      </c>
      <c r="S81" s="8" t="n">
        <f aca="false">IF(Q81=0,"",R81/Q81)</f>
        <v>-0.0769350215002389</v>
      </c>
      <c r="T81" s="8" t="str">
        <f aca="false">IF(OR(J81=0,O81=0,J81="",O81="",B81="CASH"),"",O81/J81-1)</f>
        <v/>
      </c>
      <c r="U81" s="8" t="n">
        <f aca="false">P81/$P$86</f>
        <v>0.0011923140142149</v>
      </c>
      <c r="V81" s="6" t="n">
        <v>26.69</v>
      </c>
      <c r="W81" s="8" t="n">
        <f aca="false">IF(P81=0,"",V81/P81)</f>
        <v>0.0172685981961464</v>
      </c>
    </row>
    <row r="82" customFormat="false" ht="15" hidden="false" customHeight="false" outlineLevel="0" collapsed="false">
      <c r="A82" s="4" t="s">
        <v>198</v>
      </c>
      <c r="B82" s="4" t="s">
        <v>88</v>
      </c>
      <c r="C82" s="4" t="s">
        <v>89</v>
      </c>
      <c r="D82" s="4" t="s">
        <v>90</v>
      </c>
      <c r="E82" s="4" t="s">
        <v>91</v>
      </c>
      <c r="F82" s="4" t="s">
        <v>90</v>
      </c>
      <c r="G82" s="4" t="s">
        <v>90</v>
      </c>
      <c r="H82" s="4" t="s">
        <v>71</v>
      </c>
      <c r="I82" s="14"/>
      <c r="J82" s="15" t="n">
        <v>1</v>
      </c>
      <c r="K82" s="6" t="n">
        <v>1388.8</v>
      </c>
      <c r="L82" s="6" t="n">
        <v>1388.8</v>
      </c>
      <c r="M82" s="6" t="n">
        <v>0</v>
      </c>
      <c r="N82" s="14"/>
      <c r="O82" s="15" t="n">
        <v>1</v>
      </c>
      <c r="P82" s="6" t="n">
        <v>1157.74</v>
      </c>
      <c r="Q82" s="6" t="n">
        <v>1157.74</v>
      </c>
      <c r="R82" s="6" t="n">
        <v>0</v>
      </c>
      <c r="S82" s="8" t="n">
        <f aca="false">IF(Q82=0,"",R82/Q82)</f>
        <v>0</v>
      </c>
      <c r="T82" s="8" t="str">
        <f aca="false">IF(OR(J82=0,O82=0,J82="",O82="",B82="CASH"),"",O82/J82-1)</f>
        <v/>
      </c>
      <c r="U82" s="8" t="n">
        <f aca="false">P82/$P$86</f>
        <v>0.000893120787547174</v>
      </c>
      <c r="V82" s="6" t="n">
        <v>0</v>
      </c>
      <c r="W82" s="8" t="n">
        <f aca="false">IF(P82=0,"",V82/P82)</f>
        <v>0</v>
      </c>
    </row>
    <row r="83" customFormat="false" ht="15" hidden="false" customHeight="false" outlineLevel="0" collapsed="false">
      <c r="A83" s="4" t="s">
        <v>198</v>
      </c>
      <c r="B83" s="4" t="s">
        <v>233</v>
      </c>
      <c r="C83" s="4" t="s">
        <v>234</v>
      </c>
      <c r="D83" s="4" t="s">
        <v>127</v>
      </c>
      <c r="E83" s="4" t="s">
        <v>102</v>
      </c>
      <c r="F83" s="4" t="s">
        <v>65</v>
      </c>
      <c r="G83" s="4" t="s">
        <v>103</v>
      </c>
      <c r="H83" s="4" t="s">
        <v>95</v>
      </c>
      <c r="I83" s="14" t="n">
        <v>11.14</v>
      </c>
      <c r="J83" s="15" t="n">
        <v>268.3</v>
      </c>
      <c r="K83" s="6" t="n">
        <v>2988.92</v>
      </c>
      <c r="L83" s="6" t="n">
        <v>3534.38</v>
      </c>
      <c r="M83" s="6" t="n">
        <v>-545.46</v>
      </c>
      <c r="N83" s="14"/>
      <c r="O83" s="15"/>
      <c r="P83" s="6" t="n">
        <v>0</v>
      </c>
      <c r="Q83" s="6" t="n">
        <v>0</v>
      </c>
      <c r="R83" s="6" t="n">
        <v>0</v>
      </c>
      <c r="S83" s="8" t="str">
        <f aca="false">IF(Q83=0,"",R83/Q83)</f>
        <v/>
      </c>
      <c r="T83" s="8" t="str">
        <f aca="false">IF(OR(J83=0,O83=0,J83="",O83="",B83="CASH"),"",O83/J83-1)</f>
        <v/>
      </c>
      <c r="U83" s="8" t="n">
        <f aca="false">P83/$P$86</f>
        <v>0</v>
      </c>
      <c r="V83" s="6" t="n">
        <v>0</v>
      </c>
      <c r="W83" s="8" t="str">
        <f aca="false">IF(P83=0,"",V83/P83)</f>
        <v/>
      </c>
    </row>
    <row r="84" customFormat="false" ht="15" hidden="false" customHeight="false" outlineLevel="0" collapsed="false">
      <c r="A84" s="4" t="s">
        <v>198</v>
      </c>
      <c r="B84" s="4" t="s">
        <v>235</v>
      </c>
      <c r="C84" s="4" t="s">
        <v>236</v>
      </c>
      <c r="D84" s="4" t="s">
        <v>63</v>
      </c>
      <c r="E84" s="4" t="s">
        <v>142</v>
      </c>
      <c r="F84" s="4" t="s">
        <v>65</v>
      </c>
      <c r="G84" s="4" t="s">
        <v>103</v>
      </c>
      <c r="H84" s="4" t="s">
        <v>95</v>
      </c>
      <c r="I84" s="14" t="n">
        <v>22</v>
      </c>
      <c r="J84" s="15" t="n">
        <v>185.52</v>
      </c>
      <c r="K84" s="6" t="n">
        <v>4081.44</v>
      </c>
      <c r="L84" s="6" t="n">
        <v>3916.22</v>
      </c>
      <c r="M84" s="6" t="n">
        <v>165.22</v>
      </c>
      <c r="N84" s="14"/>
      <c r="O84" s="15"/>
      <c r="P84" s="6" t="n">
        <v>0</v>
      </c>
      <c r="Q84" s="6" t="n">
        <v>0</v>
      </c>
      <c r="R84" s="6" t="n">
        <v>0</v>
      </c>
      <c r="S84" s="8" t="str">
        <f aca="false">IF(Q84=0,"",R84/Q84)</f>
        <v/>
      </c>
      <c r="T84" s="8" t="str">
        <f aca="false">IF(OR(J84=0,O84=0,J84="",O84="",B84="CASH"),"",O84/J84-1)</f>
        <v/>
      </c>
      <c r="U84" s="8" t="n">
        <f aca="false">P84/$P$86</f>
        <v>0</v>
      </c>
      <c r="V84" s="6" t="n">
        <v>0</v>
      </c>
      <c r="W84" s="8" t="str">
        <f aca="false">IF(P84=0,"",V84/P84)</f>
        <v/>
      </c>
    </row>
    <row r="86" customFormat="false" ht="15" hidden="false" customHeight="false" outlineLevel="0" collapsed="false">
      <c r="A86" s="9" t="s">
        <v>237</v>
      </c>
      <c r="B86" s="16"/>
      <c r="C86" s="16"/>
      <c r="D86" s="16"/>
      <c r="E86" s="16"/>
      <c r="F86" s="16"/>
      <c r="G86" s="16"/>
      <c r="H86" s="16"/>
      <c r="I86" s="16"/>
      <c r="J86" s="16"/>
      <c r="K86" s="11" t="n">
        <f aca="false">SUM(K5:K84)</f>
        <v>1209762.46</v>
      </c>
      <c r="L86" s="11" t="n">
        <f aca="false">SUM(L5:L84)</f>
        <v>950730.92</v>
      </c>
      <c r="M86" s="11" t="n">
        <f aca="false">SUM(M5:M84)</f>
        <v>259031.54</v>
      </c>
      <c r="N86" s="16"/>
      <c r="O86" s="16"/>
      <c r="P86" s="11" t="n">
        <f aca="false">SUM(P5:P84)</f>
        <v>1296286.03</v>
      </c>
      <c r="Q86" s="11" t="n">
        <f aca="false">SUM(Q5:Q84)</f>
        <v>952495.41</v>
      </c>
      <c r="R86" s="11" t="n">
        <f aca="false">SUM(R5:R84)</f>
        <v>343790.62</v>
      </c>
      <c r="S86" s="12" t="n">
        <f aca="false">R86/Q86</f>
        <v>0.3609367734381</v>
      </c>
      <c r="T86" s="16"/>
      <c r="U86" s="12" t="n">
        <f aca="false">SUM(U5:U84)</f>
        <v>1</v>
      </c>
      <c r="V86" s="11" t="n">
        <f aca="false">SUM(V5:V84)</f>
        <v>23484.98</v>
      </c>
      <c r="W86" s="12" t="n">
        <f aca="false">V86/P86</f>
        <v>0.0181171280539064</v>
      </c>
    </row>
  </sheetData>
  <autoFilter ref="A4:W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11" min="8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42</v>
      </c>
      <c r="D4" s="3" t="s">
        <v>43</v>
      </c>
      <c r="E4" s="3" t="s">
        <v>44</v>
      </c>
      <c r="F4" s="3" t="s">
        <v>240</v>
      </c>
      <c r="G4" s="3" t="s">
        <v>241</v>
      </c>
      <c r="H4" s="3" t="s">
        <v>48</v>
      </c>
      <c r="I4" s="3" t="s">
        <v>53</v>
      </c>
      <c r="J4" s="3" t="s">
        <v>54</v>
      </c>
      <c r="K4" s="3" t="s">
        <v>242</v>
      </c>
      <c r="L4" s="3" t="s">
        <v>56</v>
      </c>
      <c r="M4" s="3" t="s">
        <v>57</v>
      </c>
      <c r="N4" s="3" t="s">
        <v>243</v>
      </c>
      <c r="O4" s="3" t="s">
        <v>244</v>
      </c>
      <c r="P4" s="3" t="s">
        <v>21</v>
      </c>
    </row>
    <row r="5" customFormat="false" ht="15" hidden="false" customHeight="false" outlineLevel="0" collapsed="false">
      <c r="A5" s="4" t="s">
        <v>68</v>
      </c>
      <c r="B5" s="4" t="s">
        <v>69</v>
      </c>
      <c r="C5" s="4" t="s">
        <v>70</v>
      </c>
      <c r="D5" s="4" t="s">
        <v>65</v>
      </c>
      <c r="E5" s="4" t="s">
        <v>66</v>
      </c>
      <c r="F5" s="4"/>
      <c r="G5" s="4" t="s">
        <v>245</v>
      </c>
      <c r="H5" s="17" t="n">
        <f aca="false">SUMIF('Holdings by Account'!$B$5:$B$84,$A5,'Holdings by Account'!$K$5:$K$84)</f>
        <v>104323.35</v>
      </c>
      <c r="I5" s="17" t="n">
        <f aca="false">SUMIF('Holdings by Account'!$B$5:$B$84,$A5,'Holdings by Account'!$P$5:$P$84)</f>
        <v>142583.32</v>
      </c>
      <c r="J5" s="17" t="n">
        <f aca="false">SUMIF('Holdings by Account'!$B$5:$B$84,$A5,'Holdings by Account'!$Q$5:$Q$84)</f>
        <v>83659.19</v>
      </c>
      <c r="K5" s="17" t="n">
        <f aca="false">SUMIF('Holdings by Account'!$B$5:$B$84,$A5,'Holdings by Account'!$R$5:$R$84)</f>
        <v>58924.13</v>
      </c>
      <c r="L5" s="8" t="n">
        <f aca="false">IF(J5=0,"",K5/J5)</f>
        <v>0.704335411327793</v>
      </c>
      <c r="M5" s="18" t="n">
        <v>0.321747525947381</v>
      </c>
      <c r="N5" s="8" t="n">
        <f aca="false">I5/SUM($I$5:$I$65)</f>
        <v>0.109993717975962</v>
      </c>
      <c r="O5" s="8" t="n">
        <f aca="false">SUM($N$5:N5)</f>
        <v>0.109993717975962</v>
      </c>
      <c r="P5" s="17" t="n">
        <f aca="false">SUMIF('Holdings by Account'!$B$5:$B$84,$A5,'Holdings by Account'!$V$5:$V$84)</f>
        <v>0</v>
      </c>
    </row>
    <row r="6" customFormat="false" ht="15" hidden="false" customHeight="false" outlineLevel="0" collapsed="false">
      <c r="A6" s="4" t="s">
        <v>61</v>
      </c>
      <c r="B6" s="4" t="s">
        <v>62</v>
      </c>
      <c r="C6" s="4" t="s">
        <v>64</v>
      </c>
      <c r="D6" s="4" t="s">
        <v>65</v>
      </c>
      <c r="E6" s="4" t="s">
        <v>66</v>
      </c>
      <c r="F6" s="4"/>
      <c r="G6" s="4" t="s">
        <v>245</v>
      </c>
      <c r="H6" s="17" t="n">
        <f aca="false">SUMIF('Holdings by Account'!$B$5:$B$84,$A6,'Holdings by Account'!$K$5:$K$84)</f>
        <v>0</v>
      </c>
      <c r="I6" s="17" t="n">
        <f aca="false">SUMIF('Holdings by Account'!$B$5:$B$84,$A6,'Holdings by Account'!$P$5:$P$84)</f>
        <v>116848.76</v>
      </c>
      <c r="J6" s="17" t="n">
        <f aca="false">SUMIF('Holdings by Account'!$B$5:$B$84,$A6,'Holdings by Account'!$Q$5:$Q$84)</f>
        <v>107000.05</v>
      </c>
      <c r="K6" s="17" t="n">
        <f aca="false">SUMIF('Holdings by Account'!$B$5:$B$84,$A6,'Holdings by Account'!$R$5:$R$84)</f>
        <v>9848.71</v>
      </c>
      <c r="L6" s="8" t="n">
        <f aca="false">IF(J6=0,"",K6/J6)</f>
        <v>0.0920439756803852</v>
      </c>
      <c r="M6" s="18"/>
      <c r="N6" s="8" t="n">
        <f aca="false">I6/SUM($I$5:$I$65)</f>
        <v>0.0901411858924377</v>
      </c>
      <c r="O6" s="8" t="n">
        <f aca="false">SUM($N$5:N6)</f>
        <v>0.2001349038684</v>
      </c>
      <c r="P6" s="17" t="n">
        <f aca="false">SUMIF('Holdings by Account'!$B$5:$B$84,$A6,'Holdings by Account'!$V$5:$V$84)</f>
        <v>971.23</v>
      </c>
    </row>
    <row r="7" customFormat="false" ht="15" hidden="false" customHeight="false" outlineLevel="0" collapsed="false">
      <c r="A7" s="4" t="s">
        <v>72</v>
      </c>
      <c r="B7" s="4" t="s">
        <v>73</v>
      </c>
      <c r="C7" s="4" t="s">
        <v>75</v>
      </c>
      <c r="D7" s="4" t="s">
        <v>76</v>
      </c>
      <c r="E7" s="4" t="s">
        <v>66</v>
      </c>
      <c r="F7" s="4"/>
      <c r="G7" s="4" t="s">
        <v>246</v>
      </c>
      <c r="H7" s="17" t="n">
        <f aca="false">SUMIF('Holdings by Account'!$B$5:$B$84,$A7,'Holdings by Account'!$K$5:$K$84)</f>
        <v>109112.55</v>
      </c>
      <c r="I7" s="17" t="n">
        <f aca="false">SUMIF('Holdings by Account'!$B$5:$B$84,$A7,'Holdings by Account'!$P$5:$P$84)</f>
        <v>99714.48</v>
      </c>
      <c r="J7" s="17" t="n">
        <f aca="false">SUMIF('Holdings by Account'!$B$5:$B$84,$A7,'Holdings by Account'!$Q$5:$Q$84)</f>
        <v>104832.75</v>
      </c>
      <c r="K7" s="17" t="n">
        <f aca="false">SUMIF('Holdings by Account'!$B$5:$B$84,$A7,'Holdings by Account'!$R$5:$R$84)</f>
        <v>-5118.27</v>
      </c>
      <c r="L7" s="8" t="n">
        <f aca="false">IF(J7=0,"",K7/J7)</f>
        <v>-0.0488231969494266</v>
      </c>
      <c r="M7" s="18" t="n">
        <v>-0.0179948586118253</v>
      </c>
      <c r="N7" s="8" t="n">
        <f aca="false">I7/SUM($I$5:$I$65)</f>
        <v>0.0769232080669727</v>
      </c>
      <c r="O7" s="8" t="n">
        <f aca="false">SUM($N$5:N7)</f>
        <v>0.277058111935373</v>
      </c>
      <c r="P7" s="17" t="n">
        <f aca="false">SUMIF('Holdings by Account'!$B$5:$B$84,$A7,'Holdings by Account'!$V$5:$V$84)</f>
        <v>5090.14</v>
      </c>
    </row>
    <row r="8" customFormat="false" ht="15" hidden="false" customHeight="false" outlineLevel="0" collapsed="false">
      <c r="A8" s="4" t="s">
        <v>97</v>
      </c>
      <c r="B8" s="4" t="s">
        <v>98</v>
      </c>
      <c r="C8" s="4" t="s">
        <v>99</v>
      </c>
      <c r="D8" s="4" t="s">
        <v>65</v>
      </c>
      <c r="E8" s="4" t="s">
        <v>66</v>
      </c>
      <c r="F8" s="4"/>
      <c r="G8" s="4" t="s">
        <v>96</v>
      </c>
      <c r="H8" s="17" t="n">
        <f aca="false">SUMIF('Holdings by Account'!$B$5:$B$84,$A8,'Holdings by Account'!$K$5:$K$84)</f>
        <v>70745.57</v>
      </c>
      <c r="I8" s="17" t="n">
        <f aca="false">SUMIF('Holdings by Account'!$B$5:$B$84,$A8,'Holdings by Account'!$P$5:$P$84)</f>
        <v>84443.01</v>
      </c>
      <c r="J8" s="17" t="n">
        <f aca="false">SUMIF('Holdings by Account'!$B$5:$B$84,$A8,'Holdings by Account'!$Q$5:$Q$84)</f>
        <v>51612.91</v>
      </c>
      <c r="K8" s="17" t="n">
        <f aca="false">SUMIF('Holdings by Account'!$B$5:$B$84,$A8,'Holdings by Account'!$R$5:$R$84)</f>
        <v>32830.1</v>
      </c>
      <c r="L8" s="8" t="n">
        <f aca="false">IF(J8=0,"",K8/J8)</f>
        <v>0.636083104014093</v>
      </c>
      <c r="M8" s="18" t="n">
        <v>0.0523348017621146</v>
      </c>
      <c r="N8" s="8" t="n">
        <f aca="false">I8/SUM($I$5:$I$65)</f>
        <v>0.065142266479567</v>
      </c>
      <c r="O8" s="8" t="n">
        <f aca="false">SUM($N$5:N8)</f>
        <v>0.34220037841494</v>
      </c>
      <c r="P8" s="17" t="n">
        <f aca="false">SUMIF('Holdings by Account'!$B$5:$B$84,$A8,'Holdings by Account'!$V$5:$V$84)</f>
        <v>0</v>
      </c>
    </row>
    <row r="9" customFormat="false" ht="15" hidden="false" customHeight="false" outlineLevel="0" collapsed="false">
      <c r="A9" s="4" t="s">
        <v>100</v>
      </c>
      <c r="B9" s="4" t="s">
        <v>101</v>
      </c>
      <c r="C9" s="4" t="s">
        <v>102</v>
      </c>
      <c r="D9" s="4" t="s">
        <v>65</v>
      </c>
      <c r="E9" s="4" t="s">
        <v>103</v>
      </c>
      <c r="F9" s="4" t="s">
        <v>247</v>
      </c>
      <c r="G9" s="4" t="s">
        <v>248</v>
      </c>
      <c r="H9" s="17" t="n">
        <f aca="false">SUMIF('Holdings by Account'!$B$5:$B$84,$A9,'Holdings by Account'!$K$5:$K$84)</f>
        <v>69848.18</v>
      </c>
      <c r="I9" s="17" t="n">
        <f aca="false">SUMIF('Holdings by Account'!$B$5:$B$84,$A9,'Holdings by Account'!$P$5:$P$84)</f>
        <v>81631.01</v>
      </c>
      <c r="J9" s="17" t="n">
        <f aca="false">SUMIF('Holdings by Account'!$B$5:$B$84,$A9,'Holdings by Account'!$Q$5:$Q$84)</f>
        <v>15288.87</v>
      </c>
      <c r="K9" s="17" t="n">
        <f aca="false">SUMIF('Holdings by Account'!$B$5:$B$84,$A9,'Holdings by Account'!$R$5:$R$84)</f>
        <v>66342.14</v>
      </c>
      <c r="L9" s="8" t="n">
        <f aca="false">IF(J9=0,"",K9/J9)</f>
        <v>4.33924416912434</v>
      </c>
      <c r="M9" s="18" t="n">
        <v>0.165489590230266</v>
      </c>
      <c r="N9" s="8" t="n">
        <f aca="false">I9/SUM($I$5:$I$65)</f>
        <v>0.062972992156677</v>
      </c>
      <c r="O9" s="8" t="n">
        <f aca="false">SUM($N$5:N9)</f>
        <v>0.405173370571617</v>
      </c>
      <c r="P9" s="17" t="n">
        <f aca="false">SUMIF('Holdings by Account'!$B$5:$B$84,$A9,'Holdings by Account'!$V$5:$V$84)</f>
        <v>278.24</v>
      </c>
    </row>
    <row r="10" customFormat="false" ht="15" hidden="false" customHeight="false" outlineLevel="0" collapsed="false">
      <c r="A10" s="4" t="s">
        <v>123</v>
      </c>
      <c r="B10" s="4" t="s">
        <v>124</v>
      </c>
      <c r="C10" s="4" t="s">
        <v>102</v>
      </c>
      <c r="D10" s="4" t="s">
        <v>65</v>
      </c>
      <c r="E10" s="4" t="s">
        <v>103</v>
      </c>
      <c r="F10" s="4" t="s">
        <v>247</v>
      </c>
      <c r="G10" s="4" t="s">
        <v>248</v>
      </c>
      <c r="H10" s="17" t="n">
        <f aca="false">SUMIF('Holdings by Account'!$B$5:$B$84,$A10,'Holdings by Account'!$K$5:$K$84)</f>
        <v>46995.87</v>
      </c>
      <c r="I10" s="17" t="n">
        <f aca="false">SUMIF('Holdings by Account'!$B$5:$B$84,$A10,'Holdings by Account'!$P$5:$P$84)</f>
        <v>49520.94</v>
      </c>
      <c r="J10" s="17" t="n">
        <f aca="false">SUMIF('Holdings by Account'!$B$5:$B$84,$A10,'Holdings by Account'!$Q$5:$Q$84)</f>
        <v>17228.64</v>
      </c>
      <c r="K10" s="17" t="n">
        <f aca="false">SUMIF('Holdings by Account'!$B$5:$B$84,$A10,'Holdings by Account'!$R$5:$R$84)</f>
        <v>32292.3</v>
      </c>
      <c r="L10" s="8" t="n">
        <f aca="false">IF(J10=0,"",K10/J10)</f>
        <v>1.8743383110913</v>
      </c>
      <c r="M10" s="18" t="n">
        <v>0.0489433853025103</v>
      </c>
      <c r="N10" s="8" t="n">
        <f aca="false">I10/SUM($I$5:$I$65)</f>
        <v>0.0382021705502759</v>
      </c>
      <c r="O10" s="8" t="n">
        <f aca="false">SUM($N$5:N10)</f>
        <v>0.443375541121893</v>
      </c>
      <c r="P10" s="17" t="n">
        <f aca="false">SUMIF('Holdings by Account'!$B$5:$B$84,$A10,'Holdings by Account'!$V$5:$V$84)</f>
        <v>355.34</v>
      </c>
    </row>
    <row r="11" customFormat="false" ht="15" hidden="false" customHeight="false" outlineLevel="0" collapsed="false">
      <c r="A11" s="4" t="s">
        <v>199</v>
      </c>
      <c r="B11" s="4" t="s">
        <v>200</v>
      </c>
      <c r="C11" s="4" t="s">
        <v>201</v>
      </c>
      <c r="D11" s="4" t="s">
        <v>112</v>
      </c>
      <c r="E11" s="4" t="s">
        <v>66</v>
      </c>
      <c r="F11" s="4"/>
      <c r="G11" s="4" t="s">
        <v>198</v>
      </c>
      <c r="H11" s="17" t="n">
        <f aca="false">SUMIF('Holdings by Account'!$B$5:$B$84,$A11,'Holdings by Account'!$K$5:$K$84)</f>
        <v>64123.34</v>
      </c>
      <c r="I11" s="17" t="n">
        <f aca="false">SUMIF('Holdings by Account'!$B$5:$B$84,$A11,'Holdings by Account'!$P$5:$P$84)</f>
        <v>48801.29</v>
      </c>
      <c r="J11" s="17" t="n">
        <f aca="false">SUMIF('Holdings by Account'!$B$5:$B$84,$A11,'Holdings by Account'!$Q$5:$Q$84)</f>
        <v>46670.75</v>
      </c>
      <c r="K11" s="17" t="n">
        <f aca="false">SUMIF('Holdings by Account'!$B$5:$B$84,$A11,'Holdings by Account'!$R$5:$R$84)</f>
        <v>2130.54</v>
      </c>
      <c r="L11" s="8" t="n">
        <f aca="false">IF(J11=0,"",K11/J11)</f>
        <v>0.0456504341584397</v>
      </c>
      <c r="M11" s="18" t="n">
        <v>0.0362595419847327</v>
      </c>
      <c r="N11" s="8" t="n">
        <f aca="false">I11/SUM($I$5:$I$65)</f>
        <v>0.0376470075821152</v>
      </c>
      <c r="O11" s="8" t="n">
        <f aca="false">SUM($N$5:N11)</f>
        <v>0.481022548704008</v>
      </c>
      <c r="P11" s="17" t="n">
        <f aca="false">SUMIF('Holdings by Account'!$B$5:$B$84,$A11,'Holdings by Account'!$V$5:$V$84)</f>
        <v>2857.98</v>
      </c>
    </row>
    <row r="12" customFormat="false" ht="15" hidden="false" customHeight="false" outlineLevel="0" collapsed="false">
      <c r="A12" s="4" t="s">
        <v>77</v>
      </c>
      <c r="B12" s="4" t="s">
        <v>78</v>
      </c>
      <c r="C12" s="4" t="s">
        <v>80</v>
      </c>
      <c r="D12" s="4" t="s">
        <v>76</v>
      </c>
      <c r="E12" s="4" t="s">
        <v>66</v>
      </c>
      <c r="F12" s="4"/>
      <c r="G12" s="4" t="s">
        <v>249</v>
      </c>
      <c r="H12" s="17" t="n">
        <f aca="false">SUMIF('Holdings by Account'!$B$5:$B$84,$A12,'Holdings by Account'!$K$5:$K$84)</f>
        <v>42158.56</v>
      </c>
      <c r="I12" s="17" t="n">
        <f aca="false">SUMIF('Holdings by Account'!$B$5:$B$84,$A12,'Holdings by Account'!$P$5:$P$84)</f>
        <v>43690.75</v>
      </c>
      <c r="J12" s="17" t="n">
        <f aca="false">SUMIF('Holdings by Account'!$B$5:$B$84,$A12,'Holdings by Account'!$Q$5:$Q$84)</f>
        <v>43588.97</v>
      </c>
      <c r="K12" s="17" t="n">
        <f aca="false">SUMIF('Holdings by Account'!$B$5:$B$84,$A12,'Holdings by Account'!$R$5:$R$84)</f>
        <v>101.78</v>
      </c>
      <c r="L12" s="8" t="n">
        <f aca="false">IF(J12=0,"",K12/J12)</f>
        <v>0.00233499438045909</v>
      </c>
      <c r="M12" s="18" t="n">
        <v>-0.0173824130879345</v>
      </c>
      <c r="N12" s="8" t="n">
        <f aca="false">I12/SUM($I$5:$I$65)</f>
        <v>0.0337045597876265</v>
      </c>
      <c r="O12" s="8" t="n">
        <f aca="false">SUM($N$5:N12)</f>
        <v>0.514727108491634</v>
      </c>
      <c r="P12" s="17" t="n">
        <f aca="false">SUMIF('Holdings by Account'!$B$5:$B$84,$A12,'Holdings by Account'!$V$5:$V$84)</f>
        <v>3527.99</v>
      </c>
    </row>
    <row r="13" customFormat="false" ht="15" hidden="false" customHeight="false" outlineLevel="0" collapsed="false">
      <c r="A13" s="4" t="s">
        <v>104</v>
      </c>
      <c r="B13" s="4" t="s">
        <v>105</v>
      </c>
      <c r="C13" s="4" t="s">
        <v>107</v>
      </c>
      <c r="D13" s="4" t="s">
        <v>65</v>
      </c>
      <c r="E13" s="4" t="s">
        <v>66</v>
      </c>
      <c r="F13" s="4"/>
      <c r="G13" s="4" t="s">
        <v>96</v>
      </c>
      <c r="H13" s="17" t="n">
        <f aca="false">SUMIF('Holdings by Account'!$B$5:$B$84,$A13,'Holdings by Account'!$K$5:$K$84)</f>
        <v>32438.69</v>
      </c>
      <c r="I13" s="17" t="n">
        <f aca="false">SUMIF('Holdings by Account'!$B$5:$B$84,$A13,'Holdings by Account'!$P$5:$P$84)</f>
        <v>38026.02</v>
      </c>
      <c r="J13" s="17" t="n">
        <f aca="false">SUMIF('Holdings by Account'!$B$5:$B$84,$A13,'Holdings by Account'!$Q$5:$Q$84)</f>
        <v>33158.92</v>
      </c>
      <c r="K13" s="17" t="n">
        <f aca="false">SUMIF('Holdings by Account'!$B$5:$B$84,$A13,'Holdings by Account'!$R$5:$R$84)</f>
        <v>4867.1</v>
      </c>
      <c r="L13" s="8" t="n">
        <f aca="false">IF(J13=0,"",K13/J13)</f>
        <v>0.146781016993316</v>
      </c>
      <c r="M13" s="18" t="n">
        <v>0.172242874845106</v>
      </c>
      <c r="N13" s="8" t="n">
        <f aca="false">I13/SUM($I$5:$I$65)</f>
        <v>0.0293345906072906</v>
      </c>
      <c r="O13" s="8" t="n">
        <f aca="false">SUM($N$5:N13)</f>
        <v>0.544061699098925</v>
      </c>
      <c r="P13" s="17" t="n">
        <f aca="false">SUMIF('Holdings by Account'!$B$5:$B$84,$A13,'Holdings by Account'!$V$5:$V$84)</f>
        <v>0</v>
      </c>
    </row>
    <row r="14" customFormat="false" ht="15" hidden="false" customHeight="false" outlineLevel="0" collapsed="false">
      <c r="A14" s="4" t="s">
        <v>202</v>
      </c>
      <c r="B14" s="4" t="s">
        <v>203</v>
      </c>
      <c r="C14" s="4" t="s">
        <v>204</v>
      </c>
      <c r="D14" s="4" t="s">
        <v>76</v>
      </c>
      <c r="E14" s="4" t="s">
        <v>66</v>
      </c>
      <c r="F14" s="4"/>
      <c r="G14" s="4" t="s">
        <v>198</v>
      </c>
      <c r="H14" s="17" t="n">
        <f aca="false">SUMIF('Holdings by Account'!$B$5:$B$84,$A14,'Holdings by Account'!$K$5:$K$84)</f>
        <v>37893.91</v>
      </c>
      <c r="I14" s="17" t="n">
        <f aca="false">SUMIF('Holdings by Account'!$B$5:$B$84,$A14,'Holdings by Account'!$P$5:$P$84)</f>
        <v>37219.42</v>
      </c>
      <c r="J14" s="17" t="n">
        <f aca="false">SUMIF('Holdings by Account'!$B$5:$B$84,$A14,'Holdings by Account'!$Q$5:$Q$84)</f>
        <v>40036.57</v>
      </c>
      <c r="K14" s="17" t="n">
        <f aca="false">SUMIF('Holdings by Account'!$B$5:$B$84,$A14,'Holdings by Account'!$R$5:$R$84)</f>
        <v>-2817.15</v>
      </c>
      <c r="L14" s="8" t="n">
        <f aca="false">IF(J14=0,"",K14/J14)</f>
        <v>-0.0703644193296279</v>
      </c>
      <c r="M14" s="18" t="n">
        <v>-0.023454157782516</v>
      </c>
      <c r="N14" s="8" t="n">
        <f aca="false">I14/SUM($I$5:$I$65)</f>
        <v>0.0287123513936195</v>
      </c>
      <c r="O14" s="8" t="n">
        <f aca="false">SUM($N$5:N14)</f>
        <v>0.572774050492545</v>
      </c>
      <c r="P14" s="17" t="n">
        <f aca="false">SUMIF('Holdings by Account'!$B$5:$B$84,$A14,'Holdings by Account'!$V$5:$V$84)</f>
        <v>2600.48</v>
      </c>
    </row>
    <row r="15" customFormat="false" ht="15" hidden="false" customHeight="false" outlineLevel="0" collapsed="false">
      <c r="A15" s="4" t="s">
        <v>187</v>
      </c>
      <c r="B15" s="4" t="s">
        <v>188</v>
      </c>
      <c r="C15" s="4" t="s">
        <v>189</v>
      </c>
      <c r="D15" s="4" t="s">
        <v>190</v>
      </c>
      <c r="E15" s="4" t="s">
        <v>190</v>
      </c>
      <c r="F15" s="4"/>
      <c r="G15" s="4" t="s">
        <v>186</v>
      </c>
      <c r="H15" s="17" t="n">
        <f aca="false">SUMIF('Holdings by Account'!$B$5:$B$84,$A15,'Holdings by Account'!$K$5:$K$84)</f>
        <v>0</v>
      </c>
      <c r="I15" s="17" t="n">
        <f aca="false">SUMIF('Holdings by Account'!$B$5:$B$84,$A15,'Holdings by Account'!$P$5:$P$84)</f>
        <v>35362.8</v>
      </c>
      <c r="J15" s="17" t="n">
        <f aca="false">SUMIF('Holdings by Account'!$B$5:$B$84,$A15,'Holdings by Account'!$Q$5:$Q$84)</f>
        <v>36000</v>
      </c>
      <c r="K15" s="17" t="n">
        <f aca="false">SUMIF('Holdings by Account'!$B$5:$B$84,$A15,'Holdings by Account'!$R$5:$R$84)</f>
        <v>-637.2</v>
      </c>
      <c r="L15" s="8" t="n">
        <f aca="false">IF(J15=0,"",K15/J15)</f>
        <v>-0.0177</v>
      </c>
      <c r="M15" s="18"/>
      <c r="N15" s="8" t="n">
        <f aca="false">I15/SUM($I$5:$I$65)</f>
        <v>0.0272800903362354</v>
      </c>
      <c r="O15" s="8" t="n">
        <f aca="false">SUM($N$5:N15)</f>
        <v>0.60005414082878</v>
      </c>
      <c r="P15" s="17" t="n">
        <f aca="false">SUMIF('Holdings by Account'!$B$5:$B$84,$A15,'Holdings by Account'!$V$5:$V$84)</f>
        <v>0</v>
      </c>
    </row>
    <row r="16" customFormat="false" ht="15" hidden="false" customHeight="false" outlineLevel="0" collapsed="false">
      <c r="A16" s="4" t="s">
        <v>191</v>
      </c>
      <c r="B16" s="4" t="s">
        <v>192</v>
      </c>
      <c r="C16" s="4" t="s">
        <v>193</v>
      </c>
      <c r="D16" s="4" t="s">
        <v>190</v>
      </c>
      <c r="E16" s="4" t="s">
        <v>190</v>
      </c>
      <c r="F16" s="4"/>
      <c r="G16" s="4" t="s">
        <v>186</v>
      </c>
      <c r="H16" s="17" t="n">
        <f aca="false">SUMIF('Holdings by Account'!$B$5:$B$84,$A16,'Holdings by Account'!$K$5:$K$84)</f>
        <v>31434</v>
      </c>
      <c r="I16" s="17" t="n">
        <f aca="false">SUMIF('Holdings by Account'!$B$5:$B$84,$A16,'Holdings by Account'!$P$5:$P$84)</f>
        <v>32301</v>
      </c>
      <c r="J16" s="17" t="n">
        <f aca="false">SUMIF('Holdings by Account'!$B$5:$B$84,$A16,'Holdings by Account'!$Q$5:$Q$84)</f>
        <v>31987.83</v>
      </c>
      <c r="K16" s="17" t="n">
        <f aca="false">SUMIF('Holdings by Account'!$B$5:$B$84,$A16,'Holdings by Account'!$R$5:$R$84)</f>
        <v>313.17</v>
      </c>
      <c r="L16" s="8" t="n">
        <f aca="false">IF(J16=0,"",K16/J16)</f>
        <v>0.00979028586809421</v>
      </c>
      <c r="M16" s="18" t="n">
        <v>0.0275815995418973</v>
      </c>
      <c r="N16" s="8" t="n">
        <f aca="false">I16/SUM($I$5:$I$65)</f>
        <v>0.0249181116300389</v>
      </c>
      <c r="O16" s="8" t="n">
        <f aca="false">SUM($N$5:N16)</f>
        <v>0.624972252458819</v>
      </c>
      <c r="P16" s="17" t="n">
        <f aca="false">SUMIF('Holdings by Account'!$B$5:$B$84,$A16,'Holdings by Account'!$V$5:$V$84)</f>
        <v>0</v>
      </c>
    </row>
    <row r="17" customFormat="false" ht="15" hidden="false" customHeight="false" outlineLevel="0" collapsed="false">
      <c r="A17" s="4" t="s">
        <v>108</v>
      </c>
      <c r="B17" s="4" t="s">
        <v>109</v>
      </c>
      <c r="C17" s="4" t="s">
        <v>111</v>
      </c>
      <c r="D17" s="4" t="s">
        <v>112</v>
      </c>
      <c r="E17" s="4" t="s">
        <v>66</v>
      </c>
      <c r="F17" s="4"/>
      <c r="G17" s="4" t="s">
        <v>96</v>
      </c>
      <c r="H17" s="17" t="n">
        <f aca="false">SUMIF('Holdings by Account'!$B$5:$B$84,$A17,'Holdings by Account'!$K$5:$K$84)</f>
        <v>25446.93</v>
      </c>
      <c r="I17" s="17" t="n">
        <f aca="false">SUMIF('Holdings by Account'!$B$5:$B$84,$A17,'Holdings by Account'!$P$5:$P$84)</f>
        <v>27918.21</v>
      </c>
      <c r="J17" s="17" t="n">
        <f aca="false">SUMIF('Holdings by Account'!$B$5:$B$84,$A17,'Holdings by Account'!$Q$5:$Q$84)</f>
        <v>21418.22</v>
      </c>
      <c r="K17" s="17" t="n">
        <f aca="false">SUMIF('Holdings by Account'!$B$5:$B$84,$A17,'Holdings by Account'!$R$5:$R$84)</f>
        <v>6499.99</v>
      </c>
      <c r="L17" s="8" t="n">
        <f aca="false">IF(J17=0,"",K17/J17)</f>
        <v>0.303479467481425</v>
      </c>
      <c r="M17" s="18" t="n">
        <v>0.0921113689095128</v>
      </c>
      <c r="N17" s="8" t="n">
        <f aca="false">I17/SUM($I$5:$I$65)</f>
        <v>0.0215370754246268</v>
      </c>
      <c r="O17" s="8" t="n">
        <f aca="false">SUM($N$5:N17)</f>
        <v>0.646509327883446</v>
      </c>
      <c r="P17" s="17" t="n">
        <f aca="false">SUMIF('Holdings by Account'!$B$5:$B$84,$A17,'Holdings by Account'!$V$5:$V$84)</f>
        <v>743.77</v>
      </c>
    </row>
    <row r="18" customFormat="false" ht="15" hidden="false" customHeight="false" outlineLevel="0" collapsed="false">
      <c r="A18" s="4" t="s">
        <v>113</v>
      </c>
      <c r="B18" s="4" t="s">
        <v>114</v>
      </c>
      <c r="C18" s="4" t="s">
        <v>115</v>
      </c>
      <c r="D18" s="4" t="s">
        <v>65</v>
      </c>
      <c r="E18" s="4" t="s">
        <v>103</v>
      </c>
      <c r="F18" s="4" t="s">
        <v>250</v>
      </c>
      <c r="G18" s="4" t="s">
        <v>96</v>
      </c>
      <c r="H18" s="17" t="n">
        <f aca="false">SUMIF('Holdings by Account'!$B$5:$B$84,$A18,'Holdings by Account'!$K$5:$K$84)</f>
        <v>19619.7</v>
      </c>
      <c r="I18" s="17" t="n">
        <f aca="false">SUMIF('Holdings by Account'!$B$5:$B$84,$A18,'Holdings by Account'!$P$5:$P$84)</f>
        <v>26756.31</v>
      </c>
      <c r="J18" s="17" t="n">
        <f aca="false">SUMIF('Holdings by Account'!$B$5:$B$84,$A18,'Holdings by Account'!$Q$5:$Q$84)</f>
        <v>12717.38</v>
      </c>
      <c r="K18" s="17" t="n">
        <f aca="false">SUMIF('Holdings by Account'!$B$5:$B$84,$A18,'Holdings by Account'!$R$5:$R$84)</f>
        <v>14038.93</v>
      </c>
      <c r="L18" s="8" t="n">
        <f aca="false">IF(J18=0,"",K18/J18)</f>
        <v>1.10391684450728</v>
      </c>
      <c r="M18" s="18" t="n">
        <v>0.125422407070444</v>
      </c>
      <c r="N18" s="8" t="n">
        <f aca="false">I18/SUM($I$5:$I$65)</f>
        <v>0.0206407454688068</v>
      </c>
      <c r="O18" s="8" t="n">
        <f aca="false">SUM($N$5:N18)</f>
        <v>0.667150073352252</v>
      </c>
      <c r="P18" s="17" t="n">
        <f aca="false">SUMIF('Holdings by Account'!$B$5:$B$84,$A18,'Holdings by Account'!$V$5:$V$84)</f>
        <v>0</v>
      </c>
    </row>
    <row r="19" customFormat="false" ht="15" hidden="false" customHeight="false" outlineLevel="0" collapsed="false">
      <c r="A19" s="4" t="s">
        <v>131</v>
      </c>
      <c r="B19" s="4" t="s">
        <v>132</v>
      </c>
      <c r="C19" s="4" t="s">
        <v>133</v>
      </c>
      <c r="D19" s="4" t="s">
        <v>65</v>
      </c>
      <c r="E19" s="4" t="s">
        <v>103</v>
      </c>
      <c r="F19" s="4" t="s">
        <v>251</v>
      </c>
      <c r="G19" s="4" t="s">
        <v>248</v>
      </c>
      <c r="H19" s="17" t="n">
        <f aca="false">SUMIF('Holdings by Account'!$B$5:$B$84,$A19,'Holdings by Account'!$K$5:$K$84)</f>
        <v>20369.23</v>
      </c>
      <c r="I19" s="17" t="n">
        <f aca="false">SUMIF('Holdings by Account'!$B$5:$B$84,$A19,'Holdings by Account'!$P$5:$P$84)</f>
        <v>26183.73</v>
      </c>
      <c r="J19" s="17" t="n">
        <f aca="false">SUMIF('Holdings by Account'!$B$5:$B$84,$A19,'Holdings by Account'!$Q$5:$Q$84)</f>
        <v>15213.62</v>
      </c>
      <c r="K19" s="17" t="n">
        <f aca="false">SUMIF('Holdings by Account'!$B$5:$B$84,$A19,'Holdings by Account'!$R$5:$R$84)</f>
        <v>10970.11</v>
      </c>
      <c r="L19" s="8" t="n">
        <f aca="false">IF(J19=0,"",K19/J19)</f>
        <v>0.721071645012824</v>
      </c>
      <c r="M19" s="18" t="n">
        <v>0.268345015019311</v>
      </c>
      <c r="N19" s="8" t="n">
        <f aca="false">I19/SUM($I$5:$I$65)</f>
        <v>0.0201990373991765</v>
      </c>
      <c r="O19" s="8" t="n">
        <f aca="false">SUM($N$5:N19)</f>
        <v>0.687349110751429</v>
      </c>
      <c r="P19" s="17" t="n">
        <f aca="false">SUMIF('Holdings by Account'!$B$5:$B$84,$A19,'Holdings by Account'!$V$5:$V$84)</f>
        <v>626.02</v>
      </c>
    </row>
    <row r="20" customFormat="false" ht="15" hidden="false" customHeight="false" outlineLevel="0" collapsed="false">
      <c r="A20" s="4" t="s">
        <v>116</v>
      </c>
      <c r="B20" s="4" t="s">
        <v>117</v>
      </c>
      <c r="C20" s="4" t="s">
        <v>119</v>
      </c>
      <c r="D20" s="4" t="s">
        <v>65</v>
      </c>
      <c r="E20" s="4" t="s">
        <v>66</v>
      </c>
      <c r="F20" s="4"/>
      <c r="G20" s="4" t="s">
        <v>96</v>
      </c>
      <c r="H20" s="17" t="n">
        <f aca="false">SUMIF('Holdings by Account'!$B$5:$B$84,$A20,'Holdings by Account'!$K$5:$K$84)</f>
        <v>0</v>
      </c>
      <c r="I20" s="17" t="n">
        <f aca="false">SUMIF('Holdings by Account'!$B$5:$B$84,$A20,'Holdings by Account'!$P$5:$P$84)</f>
        <v>25063.89</v>
      </c>
      <c r="J20" s="17" t="n">
        <f aca="false">SUMIF('Holdings by Account'!$B$5:$B$84,$A20,'Holdings by Account'!$Q$5:$Q$84)</f>
        <v>25000</v>
      </c>
      <c r="K20" s="17" t="n">
        <f aca="false">SUMIF('Holdings by Account'!$B$5:$B$84,$A20,'Holdings by Account'!$R$5:$R$84)</f>
        <v>63.89</v>
      </c>
      <c r="L20" s="8" t="n">
        <f aca="false">IF(J20=0,"",K20/J20)</f>
        <v>0.0025556</v>
      </c>
      <c r="M20" s="18"/>
      <c r="N20" s="8" t="n">
        <f aca="false">I20/SUM($I$5:$I$65)</f>
        <v>0.0193351539860381</v>
      </c>
      <c r="O20" s="8" t="n">
        <f aca="false">SUM($N$5:N20)</f>
        <v>0.706684264737467</v>
      </c>
      <c r="P20" s="17" t="n">
        <f aca="false">SUMIF('Holdings by Account'!$B$5:$B$84,$A20,'Holdings by Account'!$V$5:$V$84)</f>
        <v>0</v>
      </c>
    </row>
    <row r="21" customFormat="false" ht="15" hidden="false" customHeight="false" outlineLevel="0" collapsed="false">
      <c r="A21" s="4" t="s">
        <v>120</v>
      </c>
      <c r="B21" s="4" t="s">
        <v>121</v>
      </c>
      <c r="C21" s="4" t="s">
        <v>122</v>
      </c>
      <c r="D21" s="4" t="s">
        <v>65</v>
      </c>
      <c r="E21" s="4" t="s">
        <v>103</v>
      </c>
      <c r="F21" s="4" t="s">
        <v>252</v>
      </c>
      <c r="G21" s="4" t="s">
        <v>96</v>
      </c>
      <c r="H21" s="17" t="n">
        <f aca="false">SUMIF('Holdings by Account'!$B$5:$B$84,$A21,'Holdings by Account'!$K$5:$K$84)</f>
        <v>28571.93</v>
      </c>
      <c r="I21" s="17" t="n">
        <f aca="false">SUMIF('Holdings by Account'!$B$5:$B$84,$A21,'Holdings by Account'!$P$5:$P$84)</f>
        <v>24819.92</v>
      </c>
      <c r="J21" s="17" t="n">
        <f aca="false">SUMIF('Holdings by Account'!$B$5:$B$84,$A21,'Holdings by Account'!$Q$5:$Q$84)</f>
        <v>10627.77</v>
      </c>
      <c r="K21" s="17" t="n">
        <f aca="false">SUMIF('Holdings by Account'!$B$5:$B$84,$A21,'Holdings by Account'!$R$5:$R$84)</f>
        <v>14192.15</v>
      </c>
      <c r="L21" s="8" t="n">
        <f aca="false">IF(J21=0,"",K21/J21)</f>
        <v>1.33538362234034</v>
      </c>
      <c r="M21" s="18" t="n">
        <v>-0.132936417761214</v>
      </c>
      <c r="N21" s="8" t="n">
        <f aca="false">I21/SUM($I$5:$I$65)</f>
        <v>0.0191469470669216</v>
      </c>
      <c r="O21" s="8" t="n">
        <f aca="false">SUM($N$5:N21)</f>
        <v>0.725831211804389</v>
      </c>
      <c r="P21" s="17" t="n">
        <f aca="false">SUMIF('Holdings by Account'!$B$5:$B$84,$A21,'Holdings by Account'!$V$5:$V$84)</f>
        <v>91.07</v>
      </c>
    </row>
    <row r="22" customFormat="false" ht="15" hidden="false" customHeight="false" outlineLevel="0" collapsed="false">
      <c r="A22" s="4" t="s">
        <v>81</v>
      </c>
      <c r="B22" s="4" t="s">
        <v>82</v>
      </c>
      <c r="C22" s="4" t="s">
        <v>83</v>
      </c>
      <c r="D22" s="4" t="s">
        <v>65</v>
      </c>
      <c r="E22" s="4" t="s">
        <v>66</v>
      </c>
      <c r="F22" s="4"/>
      <c r="G22" s="4" t="s">
        <v>245</v>
      </c>
      <c r="H22" s="17" t="n">
        <f aca="false">SUMIF('Holdings by Account'!$B$5:$B$84,$A22,'Holdings by Account'!$K$5:$K$84)</f>
        <v>10700.49</v>
      </c>
      <c r="I22" s="17" t="n">
        <f aca="false">SUMIF('Holdings by Account'!$B$5:$B$84,$A22,'Holdings by Account'!$P$5:$P$84)</f>
        <v>23968.6</v>
      </c>
      <c r="J22" s="17" t="n">
        <f aca="false">SUMIF('Holdings by Account'!$B$5:$B$84,$A22,'Holdings by Account'!$Q$5:$Q$84)</f>
        <v>20171.94</v>
      </c>
      <c r="K22" s="17" t="n">
        <f aca="false">SUMIF('Holdings by Account'!$B$5:$B$84,$A22,'Holdings by Account'!$R$5:$R$84)</f>
        <v>3796.66</v>
      </c>
      <c r="L22" s="8" t="n">
        <f aca="false">IF(J22=0,"",K22/J22)</f>
        <v>0.188214916364019</v>
      </c>
      <c r="M22" s="18" t="n">
        <v>0.237607310994184</v>
      </c>
      <c r="N22" s="8" t="n">
        <f aca="false">I22/SUM($I$5:$I$65)</f>
        <v>0.0184902092943176</v>
      </c>
      <c r="O22" s="8" t="n">
        <f aca="false">SUM($N$5:N22)</f>
        <v>0.744321421098706</v>
      </c>
      <c r="P22" s="17" t="n">
        <f aca="false">SUMIF('Holdings by Account'!$B$5:$B$84,$A22,'Holdings by Account'!$V$5:$V$84)</f>
        <v>0</v>
      </c>
    </row>
    <row r="23" customFormat="false" ht="15" hidden="false" customHeight="false" outlineLevel="0" collapsed="false">
      <c r="A23" s="4" t="s">
        <v>140</v>
      </c>
      <c r="B23" s="4" t="s">
        <v>141</v>
      </c>
      <c r="C23" s="4" t="s">
        <v>142</v>
      </c>
      <c r="D23" s="4" t="s">
        <v>65</v>
      </c>
      <c r="E23" s="4" t="s">
        <v>103</v>
      </c>
      <c r="F23" s="4" t="s">
        <v>253</v>
      </c>
      <c r="G23" s="4" t="s">
        <v>248</v>
      </c>
      <c r="H23" s="17" t="n">
        <f aca="false">SUMIF('Holdings by Account'!$B$5:$B$84,$A23,'Holdings by Account'!$K$5:$K$84)</f>
        <v>20703.25</v>
      </c>
      <c r="I23" s="17" t="n">
        <f aca="false">SUMIF('Holdings by Account'!$B$5:$B$84,$A23,'Holdings by Account'!$P$5:$P$84)</f>
        <v>23195.98</v>
      </c>
      <c r="J23" s="17" t="n">
        <f aca="false">SUMIF('Holdings by Account'!$B$5:$B$84,$A23,'Holdings by Account'!$Q$5:$Q$84)</f>
        <v>8104.56</v>
      </c>
      <c r="K23" s="17" t="n">
        <f aca="false">SUMIF('Holdings by Account'!$B$5:$B$84,$A23,'Holdings by Account'!$R$5:$R$84)</f>
        <v>15091.42</v>
      </c>
      <c r="L23" s="8" t="n">
        <f aca="false">IF(J23=0,"",K23/J23)</f>
        <v>1.86208998391029</v>
      </c>
      <c r="M23" s="18" t="n">
        <v>0.104897275153622</v>
      </c>
      <c r="N23" s="8" t="n">
        <f aca="false">I23/SUM($I$5:$I$65)</f>
        <v>0.0178941834311059</v>
      </c>
      <c r="O23" s="8" t="n">
        <f aca="false">SUM($N$5:N23)</f>
        <v>0.762215604529812</v>
      </c>
      <c r="P23" s="17" t="n">
        <f aca="false">SUMIF('Holdings by Account'!$B$5:$B$84,$A23,'Holdings by Account'!$V$5:$V$84)</f>
        <v>390.92</v>
      </c>
    </row>
    <row r="24" customFormat="false" ht="15" hidden="false" customHeight="false" outlineLevel="0" collapsed="false">
      <c r="A24" s="4" t="s">
        <v>125</v>
      </c>
      <c r="B24" s="4" t="s">
        <v>126</v>
      </c>
      <c r="C24" s="4" t="s">
        <v>128</v>
      </c>
      <c r="D24" s="4" t="s">
        <v>65</v>
      </c>
      <c r="E24" s="4" t="s">
        <v>66</v>
      </c>
      <c r="F24" s="4"/>
      <c r="G24" s="4" t="s">
        <v>96</v>
      </c>
      <c r="H24" s="17" t="n">
        <f aca="false">SUMIF('Holdings by Account'!$B$5:$B$84,$A24,'Holdings by Account'!$K$5:$K$84)</f>
        <v>13551.55</v>
      </c>
      <c r="I24" s="17" t="n">
        <f aca="false">SUMIF('Holdings by Account'!$B$5:$B$84,$A24,'Holdings by Account'!$P$5:$P$84)</f>
        <v>21555.27</v>
      </c>
      <c r="J24" s="17" t="n">
        <f aca="false">SUMIF('Holdings by Account'!$B$5:$B$84,$A24,'Holdings by Account'!$Q$5:$Q$84)</f>
        <v>16962.58</v>
      </c>
      <c r="K24" s="17" t="n">
        <f aca="false">SUMIF('Holdings by Account'!$B$5:$B$84,$A24,'Holdings by Account'!$R$5:$R$84)</f>
        <v>4592.69</v>
      </c>
      <c r="L24" s="8" t="n">
        <f aca="false">IF(J24=0,"",K24/J24)</f>
        <v>0.2707542130973</v>
      </c>
      <c r="M24" s="18" t="n">
        <v>0.123076923076923</v>
      </c>
      <c r="N24" s="8" t="n">
        <f aca="false">I24/SUM($I$5:$I$65)</f>
        <v>0.0166284828356902</v>
      </c>
      <c r="O24" s="8" t="n">
        <f aca="false">SUM($N$5:N24)</f>
        <v>0.778844087365502</v>
      </c>
      <c r="P24" s="17" t="n">
        <f aca="false">SUMIF('Holdings by Account'!$B$5:$B$84,$A24,'Holdings by Account'!$V$5:$V$84)</f>
        <v>363.32</v>
      </c>
    </row>
    <row r="25" customFormat="false" ht="15" hidden="false" customHeight="false" outlineLevel="0" collapsed="false">
      <c r="A25" s="4" t="s">
        <v>129</v>
      </c>
      <c r="B25" s="4" t="s">
        <v>130</v>
      </c>
      <c r="C25" s="4" t="s">
        <v>115</v>
      </c>
      <c r="D25" s="4" t="s">
        <v>65</v>
      </c>
      <c r="E25" s="4" t="s">
        <v>103</v>
      </c>
      <c r="F25" s="4" t="s">
        <v>250</v>
      </c>
      <c r="G25" s="4" t="s">
        <v>96</v>
      </c>
      <c r="H25" s="17" t="n">
        <f aca="false">SUMIF('Holdings by Account'!$B$5:$B$84,$A25,'Holdings by Account'!$K$5:$K$84)</f>
        <v>17136.69</v>
      </c>
      <c r="I25" s="17" t="n">
        <f aca="false">SUMIF('Holdings by Account'!$B$5:$B$84,$A25,'Holdings by Account'!$P$5:$P$84)</f>
        <v>19258.67</v>
      </c>
      <c r="J25" s="17" t="n">
        <f aca="false">SUMIF('Holdings by Account'!$B$5:$B$84,$A25,'Holdings by Account'!$Q$5:$Q$84)</f>
        <v>5162.7</v>
      </c>
      <c r="K25" s="17" t="n">
        <f aca="false">SUMIF('Holdings by Account'!$B$5:$B$84,$A25,'Holdings by Account'!$R$5:$R$84)</f>
        <v>14095.97</v>
      </c>
      <c r="L25" s="8" t="n">
        <f aca="false">IF(J25=0,"",K25/J25)</f>
        <v>2.73034846107657</v>
      </c>
      <c r="M25" s="18" t="n">
        <v>0.119339239702093</v>
      </c>
      <c r="N25" s="8" t="n">
        <f aca="false">I25/SUM($I$5:$I$65)</f>
        <v>0.0148568059473726</v>
      </c>
      <c r="O25" s="8" t="n">
        <f aca="false">SUM($N$5:N25)</f>
        <v>0.793700893312875</v>
      </c>
      <c r="P25" s="17" t="n">
        <f aca="false">SUMIF('Holdings by Account'!$B$5:$B$84,$A25,'Holdings by Account'!$V$5:$V$84)</f>
        <v>116.6</v>
      </c>
    </row>
    <row r="26" customFormat="false" ht="15" hidden="false" customHeight="false" outlineLevel="0" collapsed="false">
      <c r="A26" s="4" t="s">
        <v>134</v>
      </c>
      <c r="B26" s="4" t="s">
        <v>135</v>
      </c>
      <c r="C26" s="4" t="s">
        <v>136</v>
      </c>
      <c r="D26" s="4" t="s">
        <v>65</v>
      </c>
      <c r="E26" s="4" t="s">
        <v>66</v>
      </c>
      <c r="F26" s="4"/>
      <c r="G26" s="4" t="s">
        <v>96</v>
      </c>
      <c r="H26" s="17" t="n">
        <f aca="false">SUMIF('Holdings by Account'!$B$5:$B$84,$A26,'Holdings by Account'!$K$5:$K$84)</f>
        <v>14194.44</v>
      </c>
      <c r="I26" s="17" t="n">
        <f aca="false">SUMIF('Holdings by Account'!$B$5:$B$84,$A26,'Holdings by Account'!$P$5:$P$84)</f>
        <v>14995.38</v>
      </c>
      <c r="J26" s="17" t="n">
        <f aca="false">SUMIF('Holdings by Account'!$B$5:$B$84,$A26,'Holdings by Account'!$Q$5:$Q$84)</f>
        <v>13594.32</v>
      </c>
      <c r="K26" s="17" t="n">
        <f aca="false">SUMIF('Holdings by Account'!$B$5:$B$84,$A26,'Holdings by Account'!$R$5:$R$84)</f>
        <v>1401.06</v>
      </c>
      <c r="L26" s="8" t="n">
        <f aca="false">IF(J26=0,"",K26/J26)</f>
        <v>0.103062161255583</v>
      </c>
      <c r="M26" s="18" t="n">
        <v>-0.0862451469772601</v>
      </c>
      <c r="N26" s="8" t="n">
        <f aca="false">I26/SUM($I$5:$I$65)</f>
        <v>0.0115679561863364</v>
      </c>
      <c r="O26" s="8" t="n">
        <f aca="false">SUM($N$5:N26)</f>
        <v>0.805268849499211</v>
      </c>
      <c r="P26" s="17" t="n">
        <f aca="false">SUMIF('Holdings by Account'!$B$5:$B$84,$A26,'Holdings by Account'!$V$5:$V$84)</f>
        <v>0</v>
      </c>
    </row>
    <row r="27" customFormat="false" ht="15" hidden="false" customHeight="false" outlineLevel="0" collapsed="false">
      <c r="A27" s="4" t="s">
        <v>172</v>
      </c>
      <c r="B27" s="4" t="s">
        <v>173</v>
      </c>
      <c r="C27" s="4" t="s">
        <v>115</v>
      </c>
      <c r="D27" s="4" t="s">
        <v>65</v>
      </c>
      <c r="E27" s="4" t="s">
        <v>103</v>
      </c>
      <c r="F27" s="4" t="s">
        <v>250</v>
      </c>
      <c r="G27" s="4" t="s">
        <v>248</v>
      </c>
      <c r="H27" s="17" t="n">
        <f aca="false">SUMIF('Holdings by Account'!$B$5:$B$84,$A27,'Holdings by Account'!$K$5:$K$84)</f>
        <v>13775.25</v>
      </c>
      <c r="I27" s="17" t="n">
        <f aca="false">SUMIF('Holdings by Account'!$B$5:$B$84,$A27,'Holdings by Account'!$P$5:$P$84)</f>
        <v>13307.01</v>
      </c>
      <c r="J27" s="17" t="n">
        <f aca="false">SUMIF('Holdings by Account'!$B$5:$B$84,$A27,'Holdings by Account'!$Q$5:$Q$84)</f>
        <v>10287.12</v>
      </c>
      <c r="K27" s="17" t="n">
        <f aca="false">SUMIF('Holdings by Account'!$B$5:$B$84,$A27,'Holdings by Account'!$R$5:$R$84)</f>
        <v>3019.89</v>
      </c>
      <c r="L27" s="8" t="n">
        <f aca="false">IF(J27=0,"",K27/J27)</f>
        <v>0.293560296759443</v>
      </c>
      <c r="M27" s="18" t="n">
        <v>-0.0472827666376054</v>
      </c>
      <c r="N27" s="8" t="n">
        <f aca="false">I27/SUM($I$5:$I$65)</f>
        <v>0.0102654890140257</v>
      </c>
      <c r="O27" s="8" t="n">
        <f aca="false">SUM($N$5:N27)</f>
        <v>0.815534338513237</v>
      </c>
      <c r="P27" s="17" t="n">
        <f aca="false">SUMIF('Holdings by Account'!$B$5:$B$84,$A27,'Holdings by Account'!$V$5:$V$84)</f>
        <v>378.31</v>
      </c>
    </row>
    <row r="28" customFormat="false" ht="15" hidden="false" customHeight="false" outlineLevel="0" collapsed="false">
      <c r="A28" s="4" t="s">
        <v>137</v>
      </c>
      <c r="B28" s="4" t="s">
        <v>138</v>
      </c>
      <c r="C28" s="4" t="s">
        <v>139</v>
      </c>
      <c r="D28" s="4" t="s">
        <v>76</v>
      </c>
      <c r="E28" s="4" t="s">
        <v>66</v>
      </c>
      <c r="F28" s="4"/>
      <c r="G28" s="4" t="s">
        <v>96</v>
      </c>
      <c r="H28" s="17" t="n">
        <f aca="false">SUMIF('Holdings by Account'!$B$5:$B$84,$A28,'Holdings by Account'!$K$5:$K$84)</f>
        <v>12942.93</v>
      </c>
      <c r="I28" s="17" t="n">
        <f aca="false">SUMIF('Holdings by Account'!$B$5:$B$84,$A28,'Holdings by Account'!$P$5:$P$84)</f>
        <v>13162.79</v>
      </c>
      <c r="J28" s="17" t="n">
        <f aca="false">SUMIF('Holdings by Account'!$B$5:$B$84,$A28,'Holdings by Account'!$Q$5:$Q$84)</f>
        <v>13280.59</v>
      </c>
      <c r="K28" s="17" t="n">
        <f aca="false">SUMIF('Holdings by Account'!$B$5:$B$84,$A28,'Holdings by Account'!$R$5:$R$84)</f>
        <v>-117.8</v>
      </c>
      <c r="L28" s="8" t="n">
        <f aca="false">IF(J28=0,"",K28/J28)</f>
        <v>-0.00887008785001269</v>
      </c>
      <c r="M28" s="18" t="n">
        <v>-0.0248618784530388</v>
      </c>
      <c r="N28" s="8" t="n">
        <f aca="false">I28/SUM($I$5:$I$65)</f>
        <v>0.0101542327043361</v>
      </c>
      <c r="O28" s="8" t="n">
        <f aca="false">SUM($N$5:N28)</f>
        <v>0.825688571217573</v>
      </c>
      <c r="P28" s="17" t="n">
        <f aca="false">SUMIF('Holdings by Account'!$B$5:$B$84,$A28,'Holdings by Account'!$V$5:$V$84)</f>
        <v>837.12</v>
      </c>
    </row>
    <row r="29" customFormat="false" ht="15" hidden="false" customHeight="false" outlineLevel="0" collapsed="false">
      <c r="A29" s="4" t="s">
        <v>205</v>
      </c>
      <c r="B29" s="4" t="s">
        <v>206</v>
      </c>
      <c r="C29" s="4" t="s">
        <v>102</v>
      </c>
      <c r="D29" s="4" t="s">
        <v>65</v>
      </c>
      <c r="E29" s="4" t="s">
        <v>103</v>
      </c>
      <c r="F29" s="4" t="s">
        <v>247</v>
      </c>
      <c r="G29" s="4" t="s">
        <v>198</v>
      </c>
      <c r="H29" s="17" t="n">
        <f aca="false">SUMIF('Holdings by Account'!$B$5:$B$84,$A29,'Holdings by Account'!$K$5:$K$84)</f>
        <v>8163.02</v>
      </c>
      <c r="I29" s="17" t="n">
        <f aca="false">SUMIF('Holdings by Account'!$B$5:$B$84,$A29,'Holdings by Account'!$P$5:$P$84)</f>
        <v>12477.21</v>
      </c>
      <c r="J29" s="17" t="n">
        <f aca="false">SUMIF('Holdings by Account'!$B$5:$B$84,$A29,'Holdings by Account'!$Q$5:$Q$84)</f>
        <v>5343.19</v>
      </c>
      <c r="K29" s="17" t="n">
        <f aca="false">SUMIF('Holdings by Account'!$B$5:$B$84,$A29,'Holdings by Account'!$R$5:$R$84)</f>
        <v>7134.02</v>
      </c>
      <c r="L29" s="8" t="n">
        <f aca="false">IF(J29=0,"",K29/J29)</f>
        <v>1.33516120519764</v>
      </c>
      <c r="M29" s="18" t="n">
        <v>0.5038907141622</v>
      </c>
      <c r="N29" s="8" t="n">
        <f aca="false">I29/SUM($I$5:$I$65)</f>
        <v>0.00962535251575611</v>
      </c>
      <c r="O29" s="8" t="n">
        <f aca="false">SUM($N$5:N29)</f>
        <v>0.835313923733329</v>
      </c>
      <c r="P29" s="17" t="n">
        <f aca="false">SUMIF('Holdings by Account'!$B$5:$B$84,$A29,'Holdings by Account'!$V$5:$V$84)</f>
        <v>271.63</v>
      </c>
    </row>
    <row r="30" customFormat="false" ht="15" hidden="false" customHeight="false" outlineLevel="0" collapsed="false">
      <c r="A30" s="4" t="s">
        <v>207</v>
      </c>
      <c r="B30" s="4" t="s">
        <v>208</v>
      </c>
      <c r="C30" s="4" t="s">
        <v>157</v>
      </c>
      <c r="D30" s="4" t="s">
        <v>65</v>
      </c>
      <c r="E30" s="4" t="s">
        <v>103</v>
      </c>
      <c r="F30" s="4" t="s">
        <v>254</v>
      </c>
      <c r="G30" s="4" t="s">
        <v>198</v>
      </c>
      <c r="H30" s="17" t="n">
        <f aca="false">SUMIF('Holdings by Account'!$B$5:$B$84,$A30,'Holdings by Account'!$K$5:$K$84)</f>
        <v>8711.32</v>
      </c>
      <c r="I30" s="17" t="n">
        <f aca="false">SUMIF('Holdings by Account'!$B$5:$B$84,$A30,'Holdings by Account'!$P$5:$P$84)</f>
        <v>11603.28</v>
      </c>
      <c r="J30" s="17" t="n">
        <f aca="false">SUMIF('Holdings by Account'!$B$5:$B$84,$A30,'Holdings by Account'!$Q$5:$Q$84)</f>
        <v>5191.93</v>
      </c>
      <c r="K30" s="17" t="n">
        <f aca="false">SUMIF('Holdings by Account'!$B$5:$B$84,$A30,'Holdings by Account'!$R$5:$R$84)</f>
        <v>6411.35</v>
      </c>
      <c r="L30" s="8" t="n">
        <f aca="false">IF(J30=0,"",K30/J30)</f>
        <v>1.23486834375656</v>
      </c>
      <c r="M30" s="18" t="n">
        <v>0.313372643671138</v>
      </c>
      <c r="N30" s="8" t="n">
        <f aca="false">I30/SUM($I$5:$I$65)</f>
        <v>0.00895117260501527</v>
      </c>
      <c r="O30" s="8" t="n">
        <f aca="false">SUM($N$5:N30)</f>
        <v>0.844265096338345</v>
      </c>
      <c r="P30" s="17" t="n">
        <f aca="false">SUMIF('Holdings by Account'!$B$5:$B$84,$A30,'Holdings by Account'!$V$5:$V$84)</f>
        <v>272.08</v>
      </c>
    </row>
    <row r="31" customFormat="false" ht="15" hidden="false" customHeight="false" outlineLevel="0" collapsed="false">
      <c r="A31" s="4" t="s">
        <v>143</v>
      </c>
      <c r="B31" s="4" t="s">
        <v>144</v>
      </c>
      <c r="C31" s="4" t="s">
        <v>122</v>
      </c>
      <c r="D31" s="4" t="s">
        <v>65</v>
      </c>
      <c r="E31" s="4" t="s">
        <v>103</v>
      </c>
      <c r="F31" s="4" t="s">
        <v>252</v>
      </c>
      <c r="G31" s="4" t="s">
        <v>96</v>
      </c>
      <c r="H31" s="17" t="n">
        <f aca="false">SUMIF('Holdings by Account'!$B$5:$B$84,$A31,'Holdings by Account'!$K$5:$K$84)</f>
        <v>11614.2</v>
      </c>
      <c r="I31" s="17" t="n">
        <f aca="false">SUMIF('Holdings by Account'!$B$5:$B$84,$A31,'Holdings by Account'!$P$5:$P$84)</f>
        <v>10872.4</v>
      </c>
      <c r="J31" s="17" t="n">
        <f aca="false">SUMIF('Holdings by Account'!$B$5:$B$84,$A31,'Holdings by Account'!$Q$5:$Q$84)</f>
        <v>5169.5</v>
      </c>
      <c r="K31" s="17" t="n">
        <f aca="false">SUMIF('Holdings by Account'!$B$5:$B$84,$A31,'Holdings by Account'!$R$5:$R$84)</f>
        <v>5702.9</v>
      </c>
      <c r="L31" s="8" t="n">
        <f aca="false">IF(J31=0,"",K31/J31)</f>
        <v>1.10318212593094</v>
      </c>
      <c r="M31" s="18" t="n">
        <v>-0.0638700900621654</v>
      </c>
      <c r="N31" s="8" t="n">
        <f aca="false">I31/SUM($I$5:$I$65)</f>
        <v>0.0083873464253873</v>
      </c>
      <c r="O31" s="8" t="n">
        <f aca="false">SUM($N$5:N31)</f>
        <v>0.852652442763732</v>
      </c>
      <c r="P31" s="17" t="n">
        <f aca="false">SUMIF('Holdings by Account'!$B$5:$B$84,$A31,'Holdings by Account'!$V$5:$V$84)</f>
        <v>0</v>
      </c>
    </row>
    <row r="32" customFormat="false" ht="15" hidden="false" customHeight="false" outlineLevel="0" collapsed="false">
      <c r="A32" s="4" t="s">
        <v>167</v>
      </c>
      <c r="B32" s="4" t="s">
        <v>168</v>
      </c>
      <c r="C32" s="4" t="s">
        <v>157</v>
      </c>
      <c r="D32" s="4" t="s">
        <v>65</v>
      </c>
      <c r="E32" s="4" t="s">
        <v>103</v>
      </c>
      <c r="F32" s="4" t="s">
        <v>254</v>
      </c>
      <c r="G32" s="4" t="s">
        <v>248</v>
      </c>
      <c r="H32" s="17" t="n">
        <f aca="false">SUMIF('Holdings by Account'!$B$5:$B$84,$A32,'Holdings by Account'!$K$5:$K$84)</f>
        <v>11242.68</v>
      </c>
      <c r="I32" s="17" t="n">
        <f aca="false">SUMIF('Holdings by Account'!$B$5:$B$84,$A32,'Holdings by Account'!$P$5:$P$84)</f>
        <v>10868.39</v>
      </c>
      <c r="J32" s="17" t="n">
        <f aca="false">SUMIF('Holdings by Account'!$B$5:$B$84,$A32,'Holdings by Account'!$Q$5:$Q$84)</f>
        <v>10606.65</v>
      </c>
      <c r="K32" s="17" t="n">
        <f aca="false">SUMIF('Holdings by Account'!$B$5:$B$84,$A32,'Holdings by Account'!$R$5:$R$84)</f>
        <v>261.74</v>
      </c>
      <c r="L32" s="8" t="n">
        <f aca="false">IF(J32=0,"",K32/J32)</f>
        <v>0.0246769715225825</v>
      </c>
      <c r="M32" s="18" t="n">
        <v>-0.0563189673120966</v>
      </c>
      <c r="N32" s="8" t="n">
        <f aca="false">I32/SUM($I$5:$I$65)</f>
        <v>0.00838425297231661</v>
      </c>
      <c r="O32" s="8" t="n">
        <f aca="false">SUM($N$5:N32)</f>
        <v>0.861036695736048</v>
      </c>
      <c r="P32" s="17" t="n">
        <f aca="false">SUMIF('Holdings by Account'!$B$5:$B$84,$A32,'Holdings by Account'!$V$5:$V$84)</f>
        <v>345.29</v>
      </c>
    </row>
    <row r="33" customFormat="false" ht="15" hidden="false" customHeight="false" outlineLevel="0" collapsed="false">
      <c r="A33" s="4" t="s">
        <v>209</v>
      </c>
      <c r="B33" s="4" t="s">
        <v>210</v>
      </c>
      <c r="C33" s="4" t="s">
        <v>160</v>
      </c>
      <c r="D33" s="4" t="s">
        <v>65</v>
      </c>
      <c r="E33" s="4" t="s">
        <v>103</v>
      </c>
      <c r="F33" s="4" t="s">
        <v>255</v>
      </c>
      <c r="G33" s="4" t="s">
        <v>198</v>
      </c>
      <c r="H33" s="17" t="n">
        <f aca="false">SUMIF('Holdings by Account'!$B$5:$B$84,$A33,'Holdings by Account'!$K$5:$K$84)</f>
        <v>7716.27</v>
      </c>
      <c r="I33" s="17" t="n">
        <f aca="false">SUMIF('Holdings by Account'!$B$5:$B$84,$A33,'Holdings by Account'!$P$5:$P$84)</f>
        <v>10462.38</v>
      </c>
      <c r="J33" s="17" t="n">
        <f aca="false">SUMIF('Holdings by Account'!$B$5:$B$84,$A33,'Holdings by Account'!$Q$5:$Q$84)</f>
        <v>5349.76</v>
      </c>
      <c r="K33" s="17" t="n">
        <f aca="false">SUMIF('Holdings by Account'!$B$5:$B$84,$A33,'Holdings by Account'!$R$5:$R$84)</f>
        <v>5112.62</v>
      </c>
      <c r="L33" s="8" t="n">
        <f aca="false">IF(J33=0,"",K33/J33)</f>
        <v>0.95567277784424</v>
      </c>
      <c r="M33" s="18" t="n">
        <v>0.337460528502576</v>
      </c>
      <c r="N33" s="8" t="n">
        <f aca="false">I33/SUM($I$5:$I$65)</f>
        <v>0.00807104277749564</v>
      </c>
      <c r="O33" s="8" t="n">
        <f aca="false">SUM($N$5:N33)</f>
        <v>0.869107738513544</v>
      </c>
      <c r="P33" s="17" t="n">
        <f aca="false">SUMIF('Holdings by Account'!$B$5:$B$84,$A33,'Holdings by Account'!$V$5:$V$84)</f>
        <v>267.82</v>
      </c>
    </row>
    <row r="34" customFormat="false" ht="15" hidden="false" customHeight="false" outlineLevel="0" collapsed="false">
      <c r="A34" s="4" t="s">
        <v>146</v>
      </c>
      <c r="B34" s="4" t="s">
        <v>147</v>
      </c>
      <c r="C34" s="4" t="s">
        <v>122</v>
      </c>
      <c r="D34" s="4" t="s">
        <v>65</v>
      </c>
      <c r="E34" s="4" t="s">
        <v>103</v>
      </c>
      <c r="F34" s="4" t="s">
        <v>252</v>
      </c>
      <c r="G34" s="4" t="s">
        <v>96</v>
      </c>
      <c r="H34" s="17" t="n">
        <f aca="false">SUMIF('Holdings by Account'!$B$5:$B$84,$A34,'Holdings by Account'!$K$5:$K$84)</f>
        <v>9483.07</v>
      </c>
      <c r="I34" s="17" t="n">
        <f aca="false">SUMIF('Holdings by Account'!$B$5:$B$84,$A34,'Holdings by Account'!$P$5:$P$84)</f>
        <v>10149.17</v>
      </c>
      <c r="J34" s="17" t="n">
        <f aca="false">SUMIF('Holdings by Account'!$B$5:$B$84,$A34,'Holdings by Account'!$Q$5:$Q$84)</f>
        <v>3946.6</v>
      </c>
      <c r="K34" s="17" t="n">
        <f aca="false">SUMIF('Holdings by Account'!$B$5:$B$84,$A34,'Holdings by Account'!$R$5:$R$84)</f>
        <v>6202.57</v>
      </c>
      <c r="L34" s="8" t="n">
        <f aca="false">IF(J34=0,"",K34/J34)</f>
        <v>1.57162367607561</v>
      </c>
      <c r="M34" s="18" t="n">
        <v>0.0688655194391332</v>
      </c>
      <c r="N34" s="8" t="n">
        <f aca="false">I34/SUM($I$5:$I$65)</f>
        <v>0.00782942172106877</v>
      </c>
      <c r="O34" s="8" t="n">
        <f aca="false">SUM($N$5:N34)</f>
        <v>0.876937160234613</v>
      </c>
      <c r="P34" s="17" t="n">
        <f aca="false">SUMIF('Holdings by Account'!$B$5:$B$84,$A34,'Holdings by Account'!$V$5:$V$84)</f>
        <v>26.63</v>
      </c>
    </row>
    <row r="35" customFormat="false" ht="15" hidden="false" customHeight="false" outlineLevel="0" collapsed="false">
      <c r="A35" s="4" t="s">
        <v>84</v>
      </c>
      <c r="B35" s="4" t="s">
        <v>85</v>
      </c>
      <c r="C35" s="4" t="s">
        <v>87</v>
      </c>
      <c r="D35" s="4" t="s">
        <v>76</v>
      </c>
      <c r="E35" s="4" t="s">
        <v>66</v>
      </c>
      <c r="F35" s="4"/>
      <c r="G35" s="4" t="s">
        <v>60</v>
      </c>
      <c r="H35" s="17" t="n">
        <f aca="false">SUMIF('Holdings by Account'!$B$5:$B$84,$A35,'Holdings by Account'!$K$5:$K$84)</f>
        <v>10050.25</v>
      </c>
      <c r="I35" s="17" t="n">
        <f aca="false">SUMIF('Holdings by Account'!$B$5:$B$84,$A35,'Holdings by Account'!$P$5:$P$84)</f>
        <v>10118.7</v>
      </c>
      <c r="J35" s="17" t="n">
        <f aca="false">SUMIF('Holdings by Account'!$B$5:$B$84,$A35,'Holdings by Account'!$Q$5:$Q$84)</f>
        <v>12389.57</v>
      </c>
      <c r="K35" s="17" t="n">
        <f aca="false">SUMIF('Holdings by Account'!$B$5:$B$84,$A35,'Holdings by Account'!$R$5:$R$84)</f>
        <v>-2270.87</v>
      </c>
      <c r="L35" s="8" t="n">
        <f aca="false">IF(J35=0,"",K35/J35)</f>
        <v>-0.183288846989847</v>
      </c>
      <c r="M35" s="18" t="n">
        <v>-0.0235294117647059</v>
      </c>
      <c r="N35" s="8" t="n">
        <f aca="false">I35/SUM($I$5:$I$65)</f>
        <v>0.00780591610633959</v>
      </c>
      <c r="O35" s="8" t="n">
        <f aca="false">SUM($N$5:N35)</f>
        <v>0.884743076340952</v>
      </c>
      <c r="P35" s="17" t="n">
        <f aca="false">SUMIF('Holdings by Account'!$B$5:$B$84,$A35,'Holdings by Account'!$V$5:$V$84)</f>
        <v>554.7</v>
      </c>
    </row>
    <row r="36" customFormat="false" ht="15" hidden="false" customHeight="false" outlineLevel="0" collapsed="false">
      <c r="A36" s="4" t="s">
        <v>148</v>
      </c>
      <c r="B36" s="4" t="s">
        <v>149</v>
      </c>
      <c r="C36" s="4" t="s">
        <v>150</v>
      </c>
      <c r="D36" s="4" t="s">
        <v>65</v>
      </c>
      <c r="E36" s="4" t="s">
        <v>103</v>
      </c>
      <c r="F36" s="4" t="s">
        <v>256</v>
      </c>
      <c r="G36" s="4" t="s">
        <v>96</v>
      </c>
      <c r="H36" s="17" t="n">
        <f aca="false">SUMIF('Holdings by Account'!$B$5:$B$84,$A36,'Holdings by Account'!$K$5:$K$84)</f>
        <v>0</v>
      </c>
      <c r="I36" s="17" t="n">
        <f aca="false">SUMIF('Holdings by Account'!$B$5:$B$84,$A36,'Holdings by Account'!$P$5:$P$84)</f>
        <v>10113.19</v>
      </c>
      <c r="J36" s="17" t="n">
        <f aca="false">SUMIF('Holdings by Account'!$B$5:$B$84,$A36,'Holdings by Account'!$Q$5:$Q$84)</f>
        <v>10040.19</v>
      </c>
      <c r="K36" s="17" t="n">
        <f aca="false">SUMIF('Holdings by Account'!$B$5:$B$84,$A36,'Holdings by Account'!$R$5:$R$84)</f>
        <v>73</v>
      </c>
      <c r="L36" s="8" t="n">
        <f aca="false">IF(J36=0,"",K36/J36)</f>
        <v>0.00727077874024296</v>
      </c>
      <c r="M36" s="18"/>
      <c r="N36" s="8" t="n">
        <f aca="false">I36/SUM($I$5:$I$65)</f>
        <v>0.00780166550124744</v>
      </c>
      <c r="O36" s="8" t="n">
        <f aca="false">SUM($N$5:N36)</f>
        <v>0.8925447418422</v>
      </c>
      <c r="P36" s="17" t="n">
        <f aca="false">SUMIF('Holdings by Account'!$B$5:$B$84,$A36,'Holdings by Account'!$V$5:$V$84)</f>
        <v>51.43</v>
      </c>
    </row>
    <row r="37" customFormat="false" ht="15" hidden="false" customHeight="false" outlineLevel="0" collapsed="false">
      <c r="A37" s="4" t="s">
        <v>211</v>
      </c>
      <c r="B37" s="4" t="s">
        <v>212</v>
      </c>
      <c r="C37" s="4" t="s">
        <v>213</v>
      </c>
      <c r="D37" s="4" t="s">
        <v>65</v>
      </c>
      <c r="E37" s="4" t="s">
        <v>103</v>
      </c>
      <c r="F37" s="4" t="s">
        <v>257</v>
      </c>
      <c r="G37" s="4" t="s">
        <v>198</v>
      </c>
      <c r="H37" s="17" t="n">
        <f aca="false">SUMIF('Holdings by Account'!$B$5:$B$84,$A37,'Holdings by Account'!$K$5:$K$84)</f>
        <v>8909.9</v>
      </c>
      <c r="I37" s="17" t="n">
        <f aca="false">SUMIF('Holdings by Account'!$B$5:$B$84,$A37,'Holdings by Account'!$P$5:$P$84)</f>
        <v>9266.65</v>
      </c>
      <c r="J37" s="17" t="n">
        <f aca="false">SUMIF('Holdings by Account'!$B$5:$B$84,$A37,'Holdings by Account'!$Q$5:$Q$84)</f>
        <v>5000.75</v>
      </c>
      <c r="K37" s="17" t="n">
        <f aca="false">SUMIF('Holdings by Account'!$B$5:$B$84,$A37,'Holdings by Account'!$R$5:$R$84)</f>
        <v>4265.9</v>
      </c>
      <c r="L37" s="8" t="n">
        <f aca="false">IF(J37=0,"",K37/J37)</f>
        <v>0.853052042193671</v>
      </c>
      <c r="M37" s="18" t="n">
        <v>0.0256601893373194</v>
      </c>
      <c r="N37" s="8" t="n">
        <f aca="false">I37/SUM($I$5:$I$65)</f>
        <v>0.00714861518641839</v>
      </c>
      <c r="O37" s="8" t="n">
        <f aca="false">SUM($N$5:N37)</f>
        <v>0.899693357028618</v>
      </c>
      <c r="P37" s="17" t="n">
        <f aca="false">SUMIF('Holdings by Account'!$B$5:$B$84,$A37,'Holdings by Account'!$V$5:$V$84)</f>
        <v>280.57</v>
      </c>
    </row>
    <row r="38" customFormat="false" ht="15" hidden="false" customHeight="false" outlineLevel="0" collapsed="false">
      <c r="A38" s="4" t="s">
        <v>214</v>
      </c>
      <c r="B38" s="4" t="s">
        <v>215</v>
      </c>
      <c r="C38" s="4" t="s">
        <v>178</v>
      </c>
      <c r="D38" s="4" t="s">
        <v>65</v>
      </c>
      <c r="E38" s="4" t="s">
        <v>103</v>
      </c>
      <c r="F38" s="4" t="s">
        <v>258</v>
      </c>
      <c r="G38" s="4" t="s">
        <v>198</v>
      </c>
      <c r="H38" s="17" t="n">
        <f aca="false">SUMIF('Holdings by Account'!$B$5:$B$84,$A38,'Holdings by Account'!$K$5:$K$84)</f>
        <v>7725.17</v>
      </c>
      <c r="I38" s="17" t="n">
        <f aca="false">SUMIF('Holdings by Account'!$B$5:$B$84,$A38,'Holdings by Account'!$P$5:$P$84)</f>
        <v>8631.77</v>
      </c>
      <c r="J38" s="17" t="n">
        <f aca="false">SUMIF('Holdings by Account'!$B$5:$B$84,$A38,'Holdings by Account'!$Q$5:$Q$84)</f>
        <v>4419.91</v>
      </c>
      <c r="K38" s="17" t="n">
        <f aca="false">SUMIF('Holdings by Account'!$B$5:$B$84,$A38,'Holdings by Account'!$R$5:$R$84)</f>
        <v>4211.86</v>
      </c>
      <c r="L38" s="8" t="n">
        <f aca="false">IF(J38=0,"",K38/J38)</f>
        <v>0.952928905792199</v>
      </c>
      <c r="M38" s="18" t="n">
        <v>0.103041644388998</v>
      </c>
      <c r="N38" s="8" t="n">
        <f aca="false">I38/SUM($I$5:$I$65)</f>
        <v>0.00665884673616362</v>
      </c>
      <c r="O38" s="8" t="n">
        <f aca="false">SUM($N$5:N38)</f>
        <v>0.906352203764782</v>
      </c>
      <c r="P38" s="17" t="n">
        <f aca="false">SUMIF('Holdings by Account'!$B$5:$B$84,$A38,'Holdings by Account'!$V$5:$V$84)</f>
        <v>147.83</v>
      </c>
    </row>
    <row r="39" customFormat="false" ht="15" hidden="false" customHeight="false" outlineLevel="0" collapsed="false">
      <c r="A39" s="4" t="s">
        <v>151</v>
      </c>
      <c r="B39" s="4" t="s">
        <v>152</v>
      </c>
      <c r="C39" s="4" t="s">
        <v>102</v>
      </c>
      <c r="D39" s="4" t="s">
        <v>65</v>
      </c>
      <c r="E39" s="4" t="s">
        <v>103</v>
      </c>
      <c r="F39" s="4" t="s">
        <v>247</v>
      </c>
      <c r="G39" s="4" t="s">
        <v>96</v>
      </c>
      <c r="H39" s="17" t="n">
        <f aca="false">SUMIF('Holdings by Account'!$B$5:$B$84,$A39,'Holdings by Account'!$K$5:$K$84)</f>
        <v>8562.55</v>
      </c>
      <c r="I39" s="17" t="n">
        <f aca="false">SUMIF('Holdings by Account'!$B$5:$B$84,$A39,'Holdings by Account'!$P$5:$P$84)</f>
        <v>8380.76</v>
      </c>
      <c r="J39" s="17" t="n">
        <f aca="false">SUMIF('Holdings by Account'!$B$5:$B$84,$A39,'Holdings by Account'!$Q$5:$Q$84)</f>
        <v>7913.35</v>
      </c>
      <c r="K39" s="17" t="n">
        <f aca="false">SUMIF('Holdings by Account'!$B$5:$B$84,$A39,'Holdings by Account'!$R$5:$R$84)</f>
        <v>467.41</v>
      </c>
      <c r="L39" s="8" t="n">
        <f aca="false">IF(J39=0,"",K39/J39)</f>
        <v>0.0590660087068056</v>
      </c>
      <c r="M39" s="18" t="n">
        <v>-0.0278207693178816</v>
      </c>
      <c r="N39" s="8" t="n">
        <f aca="false">I39/SUM($I$5:$I$65)</f>
        <v>0.00646520891689313</v>
      </c>
      <c r="O39" s="8" t="n">
        <f aca="false">SUM($N$5:N39)</f>
        <v>0.912817412681675</v>
      </c>
      <c r="P39" s="17" t="n">
        <f aca="false">SUMIF('Holdings by Account'!$B$5:$B$84,$A39,'Holdings by Account'!$V$5:$V$84)</f>
        <v>57.27</v>
      </c>
    </row>
    <row r="40" customFormat="false" ht="15" hidden="false" customHeight="false" outlineLevel="0" collapsed="false">
      <c r="A40" s="4" t="s">
        <v>88</v>
      </c>
      <c r="B40" s="4" t="s">
        <v>89</v>
      </c>
      <c r="C40" s="4" t="s">
        <v>91</v>
      </c>
      <c r="D40" s="4" t="s">
        <v>90</v>
      </c>
      <c r="E40" s="4" t="s">
        <v>90</v>
      </c>
      <c r="F40" s="4"/>
      <c r="G40" s="4" t="s">
        <v>259</v>
      </c>
      <c r="H40" s="17" t="n">
        <f aca="false">SUMIF('Holdings by Account'!$B$5:$B$84,$A40,'Holdings by Account'!$K$5:$K$84)</f>
        <v>37316.92</v>
      </c>
      <c r="I40" s="17" t="n">
        <f aca="false">SUMIF('Holdings by Account'!$B$5:$B$84,$A40,'Holdings by Account'!$P$5:$P$84)</f>
        <v>8269.94</v>
      </c>
      <c r="J40" s="17" t="n">
        <f aca="false">SUMIF('Holdings by Account'!$B$5:$B$84,$A40,'Holdings by Account'!$Q$5:$Q$84)</f>
        <v>8269.94</v>
      </c>
      <c r="K40" s="17" t="n">
        <f aca="false">SUMIF('Holdings by Account'!$B$5:$B$84,$A40,'Holdings by Account'!$R$5:$R$84)</f>
        <v>0</v>
      </c>
      <c r="L40" s="8" t="n">
        <f aca="false">IF(J40=0,"",K40/J40)</f>
        <v>0</v>
      </c>
      <c r="M40" s="18"/>
      <c r="N40" s="8" t="n">
        <f aca="false">I40/SUM($I$5:$I$65)</f>
        <v>0.00637971852554795</v>
      </c>
      <c r="O40" s="8" t="n">
        <f aca="false">SUM($N$5:N40)</f>
        <v>0.919197131207223</v>
      </c>
      <c r="P40" s="17" t="n">
        <f aca="false">SUMIF('Holdings by Account'!$B$5:$B$84,$A40,'Holdings by Account'!$V$5:$V$84)</f>
        <v>0</v>
      </c>
    </row>
    <row r="41" customFormat="false" ht="15" hidden="false" customHeight="false" outlineLevel="0" collapsed="false">
      <c r="A41" s="4" t="s">
        <v>174</v>
      </c>
      <c r="B41" s="4" t="s">
        <v>175</v>
      </c>
      <c r="C41" s="4" t="s">
        <v>115</v>
      </c>
      <c r="D41" s="4" t="s">
        <v>65</v>
      </c>
      <c r="E41" s="4" t="s">
        <v>103</v>
      </c>
      <c r="F41" s="4" t="s">
        <v>250</v>
      </c>
      <c r="G41" s="4" t="s">
        <v>248</v>
      </c>
      <c r="H41" s="17" t="n">
        <f aca="false">SUMIF('Holdings by Account'!$B$5:$B$84,$A41,'Holdings by Account'!$K$5:$K$84)</f>
        <v>9424.81</v>
      </c>
      <c r="I41" s="17" t="n">
        <f aca="false">SUMIF('Holdings by Account'!$B$5:$B$84,$A41,'Holdings by Account'!$P$5:$P$84)</f>
        <v>8225.77</v>
      </c>
      <c r="J41" s="17" t="n">
        <f aca="false">SUMIF('Holdings by Account'!$B$5:$B$84,$A41,'Holdings by Account'!$Q$5:$Q$84)</f>
        <v>7646.08</v>
      </c>
      <c r="K41" s="17" t="n">
        <f aca="false">SUMIF('Holdings by Account'!$B$5:$B$84,$A41,'Holdings by Account'!$R$5:$R$84)</f>
        <v>579.69</v>
      </c>
      <c r="L41" s="8" t="n">
        <f aca="false">IF(J41=0,"",K41/J41)</f>
        <v>0.0758153197455428</v>
      </c>
      <c r="M41" s="18" t="n">
        <v>-0.1377155383961</v>
      </c>
      <c r="N41" s="8" t="n">
        <f aca="false">I41/SUM($I$5:$I$65)</f>
        <v>0.00634564425568946</v>
      </c>
      <c r="O41" s="8" t="n">
        <f aca="false">SUM($N$5:N41)</f>
        <v>0.925542775462912</v>
      </c>
      <c r="P41" s="17" t="n">
        <f aca="false">SUMIF('Holdings by Account'!$B$5:$B$84,$A41,'Holdings by Account'!$V$5:$V$84)</f>
        <v>232.22</v>
      </c>
    </row>
    <row r="42" customFormat="false" ht="15" hidden="false" customHeight="false" outlineLevel="0" collapsed="false">
      <c r="A42" s="4" t="s">
        <v>153</v>
      </c>
      <c r="B42" s="4" t="s">
        <v>154</v>
      </c>
      <c r="C42" s="4" t="s">
        <v>122</v>
      </c>
      <c r="D42" s="4" t="s">
        <v>65</v>
      </c>
      <c r="E42" s="4" t="s">
        <v>103</v>
      </c>
      <c r="F42" s="4" t="s">
        <v>252</v>
      </c>
      <c r="G42" s="4" t="s">
        <v>96</v>
      </c>
      <c r="H42" s="17" t="n">
        <f aca="false">SUMIF('Holdings by Account'!$B$5:$B$84,$A42,'Holdings by Account'!$K$5:$K$84)</f>
        <v>9376</v>
      </c>
      <c r="I42" s="17" t="n">
        <f aca="false">SUMIF('Holdings by Account'!$B$5:$B$84,$A42,'Holdings by Account'!$P$5:$P$84)</f>
        <v>8105</v>
      </c>
      <c r="J42" s="17" t="n">
        <f aca="false">SUMIF('Holdings by Account'!$B$5:$B$84,$A42,'Holdings by Account'!$Q$5:$Q$84)</f>
        <v>3149.7</v>
      </c>
      <c r="K42" s="17" t="n">
        <f aca="false">SUMIF('Holdings by Account'!$B$5:$B$84,$A42,'Holdings by Account'!$R$5:$R$84)</f>
        <v>4955.3</v>
      </c>
      <c r="L42" s="8" t="n">
        <f aca="false">IF(J42=0,"",K42/J42)</f>
        <v>1.57326094548687</v>
      </c>
      <c r="M42" s="18" t="n">
        <v>-0.135558873720137</v>
      </c>
      <c r="N42" s="8" t="n">
        <f aca="false">I42/SUM($I$5:$I$65)</f>
        <v>0.00625247808926862</v>
      </c>
      <c r="O42" s="8" t="n">
        <f aca="false">SUM($N$5:N42)</f>
        <v>0.931795253552181</v>
      </c>
      <c r="P42" s="17" t="n">
        <f aca="false">SUMIF('Holdings by Account'!$B$5:$B$84,$A42,'Holdings by Account'!$V$5:$V$84)</f>
        <v>0</v>
      </c>
    </row>
    <row r="43" customFormat="false" ht="15" hidden="false" customHeight="false" outlineLevel="0" collapsed="false">
      <c r="A43" s="4" t="s">
        <v>216</v>
      </c>
      <c r="B43" s="4" t="s">
        <v>217</v>
      </c>
      <c r="C43" s="4" t="s">
        <v>218</v>
      </c>
      <c r="D43" s="4" t="s">
        <v>65</v>
      </c>
      <c r="E43" s="4" t="s">
        <v>103</v>
      </c>
      <c r="F43" s="4" t="s">
        <v>260</v>
      </c>
      <c r="G43" s="4" t="s">
        <v>198</v>
      </c>
      <c r="H43" s="17" t="n">
        <f aca="false">SUMIF('Holdings by Account'!$B$5:$B$84,$A43,'Holdings by Account'!$K$5:$K$84)</f>
        <v>5937.6</v>
      </c>
      <c r="I43" s="17" t="n">
        <f aca="false">SUMIF('Holdings by Account'!$B$5:$B$84,$A43,'Holdings by Account'!$P$5:$P$84)</f>
        <v>7576.17</v>
      </c>
      <c r="J43" s="17" t="n">
        <f aca="false">SUMIF('Holdings by Account'!$B$5:$B$84,$A43,'Holdings by Account'!$Q$5:$Q$84)</f>
        <v>5935.82</v>
      </c>
      <c r="K43" s="17" t="n">
        <f aca="false">SUMIF('Holdings by Account'!$B$5:$B$84,$A43,'Holdings by Account'!$R$5:$R$84)</f>
        <v>1640.35</v>
      </c>
      <c r="L43" s="8" t="n">
        <f aca="false">IF(J43=0,"",K43/J43)</f>
        <v>0.276347665528941</v>
      </c>
      <c r="M43" s="18" t="n">
        <v>0.252773054813375</v>
      </c>
      <c r="N43" s="8" t="n">
        <f aca="false">I43/SUM($I$5:$I$65)</f>
        <v>0.00584452028693081</v>
      </c>
      <c r="O43" s="8" t="n">
        <f aca="false">SUM($N$5:N43)</f>
        <v>0.937639773839112</v>
      </c>
      <c r="P43" s="17" t="n">
        <f aca="false">SUMIF('Holdings by Account'!$B$5:$B$84,$A43,'Holdings by Account'!$V$5:$V$84)</f>
        <v>177.25</v>
      </c>
    </row>
    <row r="44" customFormat="false" ht="15" hidden="false" customHeight="false" outlineLevel="0" collapsed="false">
      <c r="A44" s="4" t="s">
        <v>155</v>
      </c>
      <c r="B44" s="4" t="s">
        <v>156</v>
      </c>
      <c r="C44" s="4" t="s">
        <v>157</v>
      </c>
      <c r="D44" s="4" t="s">
        <v>65</v>
      </c>
      <c r="E44" s="4" t="s">
        <v>103</v>
      </c>
      <c r="F44" s="4" t="s">
        <v>254</v>
      </c>
      <c r="G44" s="4" t="s">
        <v>96</v>
      </c>
      <c r="H44" s="17" t="n">
        <f aca="false">SUMIF('Holdings by Account'!$B$5:$B$84,$A44,'Holdings by Account'!$K$5:$K$84)</f>
        <v>5831.73</v>
      </c>
      <c r="I44" s="17" t="n">
        <f aca="false">SUMIF('Holdings by Account'!$B$5:$B$84,$A44,'Holdings by Account'!$P$5:$P$84)</f>
        <v>7574.57</v>
      </c>
      <c r="J44" s="17" t="n">
        <f aca="false">SUMIF('Holdings by Account'!$B$5:$B$84,$A44,'Holdings by Account'!$Q$5:$Q$84)</f>
        <v>5119.07</v>
      </c>
      <c r="K44" s="17" t="n">
        <f aca="false">SUMIF('Holdings by Account'!$B$5:$B$84,$A44,'Holdings by Account'!$R$5:$R$84)</f>
        <v>2455.5</v>
      </c>
      <c r="L44" s="8" t="n">
        <f aca="false">IF(J44=0,"",K44/J44)</f>
        <v>0.479676972575097</v>
      </c>
      <c r="M44" s="18" t="n">
        <v>0.284609809132641</v>
      </c>
      <c r="N44" s="8" t="n">
        <f aca="false">I44/SUM($I$5:$I$65)</f>
        <v>0.00584328599144126</v>
      </c>
      <c r="O44" s="8" t="n">
        <f aca="false">SUM($N$5:N44)</f>
        <v>0.943483059830553</v>
      </c>
      <c r="P44" s="17" t="n">
        <f aca="false">SUMIF('Holdings by Account'!$B$5:$B$84,$A44,'Holdings by Account'!$V$5:$V$84)</f>
        <v>152.72</v>
      </c>
    </row>
    <row r="45" customFormat="false" ht="15" hidden="false" customHeight="false" outlineLevel="0" collapsed="false">
      <c r="A45" s="4" t="s">
        <v>219</v>
      </c>
      <c r="B45" s="4" t="s">
        <v>220</v>
      </c>
      <c r="C45" s="4" t="s">
        <v>142</v>
      </c>
      <c r="D45" s="4" t="s">
        <v>65</v>
      </c>
      <c r="E45" s="4" t="s">
        <v>103</v>
      </c>
      <c r="F45" s="4" t="s">
        <v>253</v>
      </c>
      <c r="G45" s="4" t="s">
        <v>198</v>
      </c>
      <c r="H45" s="17" t="n">
        <f aca="false">SUMIF('Holdings by Account'!$B$5:$B$84,$A45,'Holdings by Account'!$K$5:$K$84)</f>
        <v>6572.24</v>
      </c>
      <c r="I45" s="17" t="n">
        <f aca="false">SUMIF('Holdings by Account'!$B$5:$B$84,$A45,'Holdings by Account'!$P$5:$P$84)</f>
        <v>7138.98</v>
      </c>
      <c r="J45" s="17" t="n">
        <f aca="false">SUMIF('Holdings by Account'!$B$5:$B$84,$A45,'Holdings by Account'!$Q$5:$Q$84)</f>
        <v>3257.83</v>
      </c>
      <c r="K45" s="17" t="n">
        <f aca="false">SUMIF('Holdings by Account'!$B$5:$B$84,$A45,'Holdings by Account'!$R$5:$R$84)</f>
        <v>3881.15</v>
      </c>
      <c r="L45" s="8" t="n">
        <f aca="false">IF(J45=0,"",K45/J45)</f>
        <v>1.19132981156168</v>
      </c>
      <c r="M45" s="18" t="n">
        <v>0.0817199395511963</v>
      </c>
      <c r="N45" s="8" t="n">
        <f aca="false">I45/SUM($I$5:$I$65)</f>
        <v>0.00550725675875717</v>
      </c>
      <c r="O45" s="8" t="n">
        <f aca="false">SUM($N$5:N45)</f>
        <v>0.94899031658931</v>
      </c>
      <c r="P45" s="17" t="n">
        <f aca="false">SUMIF('Holdings by Account'!$B$5:$B$84,$A45,'Holdings by Account'!$V$5:$V$84)</f>
        <v>50.43</v>
      </c>
    </row>
    <row r="46" customFormat="false" ht="15" hidden="false" customHeight="false" outlineLevel="0" collapsed="false">
      <c r="A46" s="4" t="s">
        <v>158</v>
      </c>
      <c r="B46" s="4" t="s">
        <v>159</v>
      </c>
      <c r="C46" s="4" t="s">
        <v>160</v>
      </c>
      <c r="D46" s="4" t="s">
        <v>65</v>
      </c>
      <c r="E46" s="4" t="s">
        <v>103</v>
      </c>
      <c r="F46" s="4" t="s">
        <v>255</v>
      </c>
      <c r="G46" s="4" t="s">
        <v>96</v>
      </c>
      <c r="H46" s="17" t="n">
        <f aca="false">SUMIF('Holdings by Account'!$B$5:$B$84,$A46,'Holdings by Account'!$K$5:$K$84)</f>
        <v>5375.84</v>
      </c>
      <c r="I46" s="17" t="n">
        <f aca="false">SUMIF('Holdings by Account'!$B$5:$B$84,$A46,'Holdings by Account'!$P$5:$P$84)</f>
        <v>6806.25</v>
      </c>
      <c r="J46" s="17" t="n">
        <f aca="false">SUMIF('Holdings by Account'!$B$5:$B$84,$A46,'Holdings by Account'!$Q$5:$Q$84)</f>
        <v>5157.34</v>
      </c>
      <c r="K46" s="17" t="n">
        <f aca="false">SUMIF('Holdings by Account'!$B$5:$B$84,$A46,'Holdings by Account'!$R$5:$R$84)</f>
        <v>1648.91</v>
      </c>
      <c r="L46" s="8" t="n">
        <f aca="false">IF(J46=0,"",K46/J46)</f>
        <v>0.319721018974898</v>
      </c>
      <c r="M46" s="18" t="n">
        <v>0.248544335385127</v>
      </c>
      <c r="N46" s="8" t="n">
        <f aca="false">I46/SUM($I$5:$I$65)</f>
        <v>0.00525057729735774</v>
      </c>
      <c r="O46" s="8" t="n">
        <f aca="false">SUM($N$5:N46)</f>
        <v>0.954240893886668</v>
      </c>
      <c r="P46" s="17" t="n">
        <f aca="false">SUMIF('Holdings by Account'!$B$5:$B$84,$A46,'Holdings by Account'!$V$5:$V$84)</f>
        <v>190.45</v>
      </c>
    </row>
    <row r="47" customFormat="false" ht="15" hidden="false" customHeight="false" outlineLevel="0" collapsed="false">
      <c r="A47" s="4" t="s">
        <v>161</v>
      </c>
      <c r="B47" s="4" t="s">
        <v>162</v>
      </c>
      <c r="C47" s="4" t="s">
        <v>160</v>
      </c>
      <c r="D47" s="4" t="s">
        <v>65</v>
      </c>
      <c r="E47" s="4" t="s">
        <v>103</v>
      </c>
      <c r="F47" s="4" t="s">
        <v>255</v>
      </c>
      <c r="G47" s="4" t="s">
        <v>96</v>
      </c>
      <c r="H47" s="17" t="n">
        <f aca="false">SUMIF('Holdings by Account'!$B$5:$B$84,$A47,'Holdings by Account'!$K$5:$K$84)</f>
        <v>4933.15</v>
      </c>
      <c r="I47" s="17" t="n">
        <f aca="false">SUMIF('Holdings by Account'!$B$5:$B$84,$A47,'Holdings by Account'!$P$5:$P$84)</f>
        <v>6798.79</v>
      </c>
      <c r="J47" s="17" t="n">
        <f aca="false">SUMIF('Holdings by Account'!$B$5:$B$84,$A47,'Holdings by Account'!$Q$5:$Q$84)</f>
        <v>5104.89</v>
      </c>
      <c r="K47" s="17" t="n">
        <f aca="false">SUMIF('Holdings by Account'!$B$5:$B$84,$A47,'Holdings by Account'!$R$5:$R$84)</f>
        <v>1693.9</v>
      </c>
      <c r="L47" s="8" t="n">
        <f aca="false">IF(J47=0,"",K47/J47)</f>
        <v>0.331819098942387</v>
      </c>
      <c r="M47" s="18" t="n">
        <v>0.352535922839709</v>
      </c>
      <c r="N47" s="8" t="n">
        <f aca="false">I47/SUM($I$5:$I$65)</f>
        <v>0.0052448223946377</v>
      </c>
      <c r="O47" s="8" t="n">
        <f aca="false">SUM($N$5:N47)</f>
        <v>0.959485716281306</v>
      </c>
      <c r="P47" s="17" t="n">
        <f aca="false">SUMIF('Holdings by Account'!$B$5:$B$84,$A47,'Holdings by Account'!$V$5:$V$84)</f>
        <v>234.83</v>
      </c>
    </row>
    <row r="48" customFormat="false" ht="15" hidden="false" customHeight="false" outlineLevel="0" collapsed="false">
      <c r="A48" s="4" t="s">
        <v>163</v>
      </c>
      <c r="B48" s="4" t="s">
        <v>164</v>
      </c>
      <c r="C48" s="4" t="s">
        <v>102</v>
      </c>
      <c r="D48" s="4" t="s">
        <v>65</v>
      </c>
      <c r="E48" s="4" t="s">
        <v>103</v>
      </c>
      <c r="F48" s="4" t="s">
        <v>247</v>
      </c>
      <c r="G48" s="4" t="s">
        <v>96</v>
      </c>
      <c r="H48" s="17" t="n">
        <f aca="false">SUMIF('Holdings by Account'!$B$5:$B$84,$A48,'Holdings by Account'!$K$5:$K$84)</f>
        <v>6893.55</v>
      </c>
      <c r="I48" s="17" t="n">
        <f aca="false">SUMIF('Holdings by Account'!$B$5:$B$84,$A48,'Holdings by Account'!$P$5:$P$84)</f>
        <v>6659.55</v>
      </c>
      <c r="J48" s="17" t="n">
        <f aca="false">SUMIF('Holdings by Account'!$B$5:$B$84,$A48,'Holdings by Account'!$Q$5:$Q$84)</f>
        <v>5078.79</v>
      </c>
      <c r="K48" s="17" t="n">
        <f aca="false">SUMIF('Holdings by Account'!$B$5:$B$84,$A48,'Holdings by Account'!$R$5:$R$84)</f>
        <v>1580.76</v>
      </c>
      <c r="L48" s="8" t="n">
        <f aca="false">IF(J48=0,"",K48/J48)</f>
        <v>0.311247364037497</v>
      </c>
      <c r="M48" s="18" t="n">
        <v>-0.033944774463085</v>
      </c>
      <c r="N48" s="8" t="n">
        <f aca="false">I48/SUM($I$5:$I$65)</f>
        <v>0.00513740782965932</v>
      </c>
      <c r="O48" s="8" t="n">
        <f aca="false">SUM($N$5:N48)</f>
        <v>0.964623124110965</v>
      </c>
      <c r="P48" s="17" t="n">
        <f aca="false">SUMIF('Holdings by Account'!$B$5:$B$84,$A48,'Holdings by Account'!$V$5:$V$84)</f>
        <v>0</v>
      </c>
    </row>
    <row r="49" customFormat="false" ht="15" hidden="false" customHeight="false" outlineLevel="0" collapsed="false">
      <c r="A49" s="4" t="s">
        <v>165</v>
      </c>
      <c r="B49" s="4" t="s">
        <v>166</v>
      </c>
      <c r="C49" s="4" t="s">
        <v>133</v>
      </c>
      <c r="D49" s="4" t="s">
        <v>65</v>
      </c>
      <c r="E49" s="4" t="s">
        <v>103</v>
      </c>
      <c r="F49" s="4" t="s">
        <v>251</v>
      </c>
      <c r="G49" s="4" t="s">
        <v>96</v>
      </c>
      <c r="H49" s="17" t="n">
        <f aca="false">SUMIF('Holdings by Account'!$B$5:$B$84,$A49,'Holdings by Account'!$K$5:$K$84)</f>
        <v>5881.79</v>
      </c>
      <c r="I49" s="17" t="n">
        <f aca="false">SUMIF('Holdings by Account'!$B$5:$B$84,$A49,'Holdings by Account'!$P$5:$P$84)</f>
        <v>5927.26</v>
      </c>
      <c r="J49" s="17" t="n">
        <f aca="false">SUMIF('Holdings by Account'!$B$5:$B$84,$A49,'Holdings by Account'!$Q$5:$Q$84)</f>
        <v>5958.16</v>
      </c>
      <c r="K49" s="17" t="n">
        <f aca="false">SUMIF('Holdings by Account'!$B$5:$B$84,$A49,'Holdings by Account'!$R$5:$R$84)</f>
        <v>-30.9</v>
      </c>
      <c r="L49" s="8" t="n">
        <f aca="false">IF(J49=0,"",K49/J49)</f>
        <v>-0.00518616485626435</v>
      </c>
      <c r="M49" s="18" t="n">
        <v>-0.0221571906354515</v>
      </c>
      <c r="N49" s="8" t="n">
        <f aca="false">I49/SUM($I$5:$I$65)</f>
        <v>0.00457249392713119</v>
      </c>
      <c r="O49" s="8" t="n">
        <f aca="false">SUM($N$5:N49)</f>
        <v>0.969195618038096</v>
      </c>
      <c r="P49" s="17" t="n">
        <f aca="false">SUMIF('Holdings by Account'!$B$5:$B$84,$A49,'Holdings by Account'!$V$5:$V$84)</f>
        <v>250.03</v>
      </c>
    </row>
    <row r="50" customFormat="false" ht="15" hidden="false" customHeight="false" outlineLevel="0" collapsed="false">
      <c r="A50" s="4" t="s">
        <v>169</v>
      </c>
      <c r="B50" s="4" t="s">
        <v>170</v>
      </c>
      <c r="C50" s="4" t="s">
        <v>102</v>
      </c>
      <c r="D50" s="4" t="s">
        <v>65</v>
      </c>
      <c r="E50" s="4" t="s">
        <v>103</v>
      </c>
      <c r="F50" s="4" t="s">
        <v>247</v>
      </c>
      <c r="G50" s="4" t="s">
        <v>96</v>
      </c>
      <c r="H50" s="17" t="n">
        <f aca="false">SUMIF('Holdings by Account'!$B$5:$B$84,$A50,'Holdings by Account'!$K$5:$K$84)</f>
        <v>5213.36</v>
      </c>
      <c r="I50" s="17" t="n">
        <f aca="false">SUMIF('Holdings by Account'!$B$5:$B$84,$A50,'Holdings by Account'!$P$5:$P$84)</f>
        <v>5254.82</v>
      </c>
      <c r="J50" s="17" t="n">
        <f aca="false">SUMIF('Holdings by Account'!$B$5:$B$84,$A50,'Holdings by Account'!$Q$5:$Q$84)</f>
        <v>4343.35</v>
      </c>
      <c r="K50" s="17" t="n">
        <f aca="false">SUMIF('Holdings by Account'!$B$5:$B$84,$A50,'Holdings by Account'!$R$5:$R$84)</f>
        <v>911.47</v>
      </c>
      <c r="L50" s="8" t="n">
        <f aca="false">IF(J50=0,"",K50/J50)</f>
        <v>0.209854144842115</v>
      </c>
      <c r="M50" s="18" t="n">
        <v>-0.00333235895936879</v>
      </c>
      <c r="N50" s="8" t="n">
        <f aca="false">I50/SUM($I$5:$I$65)</f>
        <v>0.00405375039025916</v>
      </c>
      <c r="O50" s="8" t="n">
        <f aca="false">SUM($N$5:N50)</f>
        <v>0.973249368428355</v>
      </c>
      <c r="P50" s="17" t="n">
        <f aca="false">SUMIF('Holdings by Account'!$B$5:$B$84,$A50,'Holdings by Account'!$V$5:$V$84)</f>
        <v>113.43</v>
      </c>
    </row>
    <row r="51" customFormat="false" ht="15" hidden="false" customHeight="false" outlineLevel="0" collapsed="false">
      <c r="A51" s="4" t="s">
        <v>171</v>
      </c>
      <c r="B51" s="4" t="s">
        <v>147</v>
      </c>
      <c r="C51" s="4" t="s">
        <v>122</v>
      </c>
      <c r="D51" s="4" t="s">
        <v>65</v>
      </c>
      <c r="E51" s="4" t="s">
        <v>103</v>
      </c>
      <c r="F51" s="4" t="s">
        <v>252</v>
      </c>
      <c r="G51" s="4" t="s">
        <v>96</v>
      </c>
      <c r="H51" s="17" t="n">
        <f aca="false">SUMIF('Holdings by Account'!$B$5:$B$84,$A51,'Holdings by Account'!$K$5:$K$84)</f>
        <v>0</v>
      </c>
      <c r="I51" s="17" t="n">
        <f aca="false">SUMIF('Holdings by Account'!$B$5:$B$84,$A51,'Holdings by Account'!$P$5:$P$84)</f>
        <v>5093.27</v>
      </c>
      <c r="J51" s="17" t="n">
        <f aca="false">SUMIF('Holdings by Account'!$B$5:$B$84,$A51,'Holdings by Account'!$Q$5:$Q$84)</f>
        <v>5991.68</v>
      </c>
      <c r="K51" s="17" t="n">
        <f aca="false">SUMIF('Holdings by Account'!$B$5:$B$84,$A51,'Holdings by Account'!$R$5:$R$84)</f>
        <v>-898.41</v>
      </c>
      <c r="L51" s="8" t="n">
        <f aca="false">IF(J51=0,"",K51/J51)</f>
        <v>-0.149942920850246</v>
      </c>
      <c r="M51" s="18"/>
      <c r="N51" s="8" t="n">
        <f aca="false">I51/SUM($I$5:$I$65)</f>
        <v>0.00392912511754832</v>
      </c>
      <c r="O51" s="8" t="n">
        <f aca="false">SUM($N$5:N51)</f>
        <v>0.977178493545904</v>
      </c>
      <c r="P51" s="17" t="n">
        <f aca="false">SUMIF('Holdings by Account'!$B$5:$B$84,$A51,'Holdings by Account'!$V$5:$V$84)</f>
        <v>13.21</v>
      </c>
    </row>
    <row r="52" customFormat="false" ht="15" hidden="false" customHeight="false" outlineLevel="0" collapsed="false">
      <c r="A52" s="4" t="s">
        <v>221</v>
      </c>
      <c r="B52" s="4" t="s">
        <v>222</v>
      </c>
      <c r="C52" s="4" t="s">
        <v>133</v>
      </c>
      <c r="D52" s="4" t="s">
        <v>65</v>
      </c>
      <c r="E52" s="4" t="s">
        <v>103</v>
      </c>
      <c r="F52" s="4" t="s">
        <v>251</v>
      </c>
      <c r="G52" s="4" t="s">
        <v>198</v>
      </c>
      <c r="H52" s="17" t="n">
        <f aca="false">SUMIF('Holdings by Account'!$B$5:$B$84,$A52,'Holdings by Account'!$K$5:$K$84)</f>
        <v>4883.82</v>
      </c>
      <c r="I52" s="17" t="n">
        <f aca="false">SUMIF('Holdings by Account'!$B$5:$B$84,$A52,'Holdings by Account'!$P$5:$P$84)</f>
        <v>5053.95</v>
      </c>
      <c r="J52" s="17" t="n">
        <f aca="false">SUMIF('Holdings by Account'!$B$5:$B$84,$A52,'Holdings by Account'!$Q$5:$Q$84)</f>
        <v>5379.75</v>
      </c>
      <c r="K52" s="17" t="n">
        <f aca="false">SUMIF('Holdings by Account'!$B$5:$B$84,$A52,'Holdings by Account'!$R$5:$R$84)</f>
        <v>-325.8</v>
      </c>
      <c r="L52" s="8" t="n">
        <f aca="false">IF(J52=0,"",K52/J52)</f>
        <v>-0.06056043496445</v>
      </c>
      <c r="M52" s="18" t="n">
        <v>0.0126299630172353</v>
      </c>
      <c r="N52" s="8" t="n">
        <f aca="false">I52/SUM($I$5:$I$65)</f>
        <v>0.00389879230589255</v>
      </c>
      <c r="O52" s="8" t="n">
        <f aca="false">SUM($N$5:N52)</f>
        <v>0.981077285851796</v>
      </c>
      <c r="P52" s="17" t="n">
        <f aca="false">SUMIF('Holdings by Account'!$B$5:$B$84,$A52,'Holdings by Account'!$V$5:$V$84)</f>
        <v>151.63</v>
      </c>
    </row>
    <row r="53" customFormat="false" ht="15" hidden="false" customHeight="false" outlineLevel="0" collapsed="false">
      <c r="A53" s="4" t="s">
        <v>176</v>
      </c>
      <c r="B53" s="4" t="s">
        <v>177</v>
      </c>
      <c r="C53" s="4" t="s">
        <v>178</v>
      </c>
      <c r="D53" s="4" t="s">
        <v>65</v>
      </c>
      <c r="E53" s="4" t="s">
        <v>103</v>
      </c>
      <c r="F53" s="4" t="s">
        <v>258</v>
      </c>
      <c r="G53" s="4" t="s">
        <v>248</v>
      </c>
      <c r="H53" s="17" t="n">
        <f aca="false">SUMIF('Holdings by Account'!$B$5:$B$84,$A53,'Holdings by Account'!$K$5:$K$84)</f>
        <v>8913.74</v>
      </c>
      <c r="I53" s="17" t="n">
        <f aca="false">SUMIF('Holdings by Account'!$B$5:$B$84,$A53,'Holdings by Account'!$P$5:$P$84)</f>
        <v>4697.66</v>
      </c>
      <c r="J53" s="17" t="n">
        <f aca="false">SUMIF('Holdings by Account'!$B$5:$B$84,$A53,'Holdings by Account'!$Q$5:$Q$84)</f>
        <v>4624.93</v>
      </c>
      <c r="K53" s="17" t="n">
        <f aca="false">SUMIF('Holdings by Account'!$B$5:$B$84,$A53,'Holdings by Account'!$R$5:$R$84)</f>
        <v>72.73</v>
      </c>
      <c r="L53" s="8" t="n">
        <f aca="false">IF(J53=0,"",K53/J53)</f>
        <v>0.0157256434151436</v>
      </c>
      <c r="M53" s="18" t="n">
        <v>0.094520477728228</v>
      </c>
      <c r="N53" s="8" t="n">
        <f aca="false">I53/SUM($I$5:$I$65)</f>
        <v>0.00362393784340945</v>
      </c>
      <c r="O53" s="8" t="n">
        <f aca="false">SUM($N$5:N53)</f>
        <v>0.984701223695206</v>
      </c>
      <c r="P53" s="17" t="n">
        <f aca="false">SUMIF('Holdings by Account'!$B$5:$B$84,$A53,'Holdings by Account'!$V$5:$V$84)</f>
        <v>61.6</v>
      </c>
    </row>
    <row r="54" customFormat="false" ht="15" hidden="false" customHeight="false" outlineLevel="0" collapsed="false">
      <c r="A54" s="4" t="s">
        <v>223</v>
      </c>
      <c r="B54" s="4" t="s">
        <v>224</v>
      </c>
      <c r="C54" s="4" t="s">
        <v>142</v>
      </c>
      <c r="D54" s="4" t="s">
        <v>65</v>
      </c>
      <c r="E54" s="4" t="s">
        <v>103</v>
      </c>
      <c r="F54" s="4" t="s">
        <v>253</v>
      </c>
      <c r="G54" s="4" t="s">
        <v>198</v>
      </c>
      <c r="H54" s="17" t="n">
        <f aca="false">SUMIF('Holdings by Account'!$B$5:$B$84,$A54,'Holdings by Account'!$K$5:$K$84)</f>
        <v>0</v>
      </c>
      <c r="I54" s="17" t="n">
        <f aca="false">SUMIF('Holdings by Account'!$B$5:$B$84,$A54,'Holdings by Account'!$P$5:$P$84)</f>
        <v>4242.69</v>
      </c>
      <c r="J54" s="17" t="n">
        <f aca="false">SUMIF('Holdings by Account'!$B$5:$B$84,$A54,'Holdings by Account'!$Q$5:$Q$84)</f>
        <v>3977.93</v>
      </c>
      <c r="K54" s="17" t="n">
        <f aca="false">SUMIF('Holdings by Account'!$B$5:$B$84,$A54,'Holdings by Account'!$R$5:$R$84)</f>
        <v>264.76</v>
      </c>
      <c r="L54" s="8" t="n">
        <f aca="false">IF(J54=0,"",K54/J54)</f>
        <v>0.0665572295138426</v>
      </c>
      <c r="M54" s="18"/>
      <c r="N54" s="8" t="n">
        <f aca="false">I54/SUM($I$5:$I$65)</f>
        <v>0.00327295820660815</v>
      </c>
      <c r="O54" s="8" t="n">
        <f aca="false">SUM($N$5:N54)</f>
        <v>0.987974181901814</v>
      </c>
      <c r="P54" s="17" t="n">
        <f aca="false">SUMIF('Holdings by Account'!$B$5:$B$84,$A54,'Holdings by Account'!$V$5:$V$84)</f>
        <v>88.52</v>
      </c>
    </row>
    <row r="55" customFormat="false" ht="15" hidden="false" customHeight="false" outlineLevel="0" collapsed="false">
      <c r="A55" s="4" t="s">
        <v>225</v>
      </c>
      <c r="B55" s="4" t="s">
        <v>226</v>
      </c>
      <c r="C55" s="4" t="s">
        <v>213</v>
      </c>
      <c r="D55" s="4" t="s">
        <v>65</v>
      </c>
      <c r="E55" s="4" t="s">
        <v>103</v>
      </c>
      <c r="F55" s="4" t="s">
        <v>257</v>
      </c>
      <c r="G55" s="4" t="s">
        <v>198</v>
      </c>
      <c r="H55" s="17" t="n">
        <f aca="false">SUMIF('Holdings by Account'!$B$5:$B$84,$A55,'Holdings by Account'!$K$5:$K$84)</f>
        <v>3513.54</v>
      </c>
      <c r="I55" s="17" t="n">
        <f aca="false">SUMIF('Holdings by Account'!$B$5:$B$84,$A55,'Holdings by Account'!$P$5:$P$84)</f>
        <v>3602.46</v>
      </c>
      <c r="J55" s="17" t="n">
        <f aca="false">SUMIF('Holdings by Account'!$B$5:$B$84,$A55,'Holdings by Account'!$Q$5:$Q$84)</f>
        <v>3228.45</v>
      </c>
      <c r="K55" s="17" t="n">
        <f aca="false">SUMIF('Holdings by Account'!$B$5:$B$84,$A55,'Holdings by Account'!$R$5:$R$84)</f>
        <v>374.01</v>
      </c>
      <c r="L55" s="8" t="n">
        <f aca="false">IF(J55=0,"",K55/J55)</f>
        <v>0.115848162430888</v>
      </c>
      <c r="M55" s="18" t="n">
        <v>0.00917431192660545</v>
      </c>
      <c r="N55" s="8" t="n">
        <f aca="false">I55/SUM($I$5:$I$65)</f>
        <v>0.00277906258081019</v>
      </c>
      <c r="O55" s="8" t="n">
        <f aca="false">SUM($N$5:N55)</f>
        <v>0.990753244482624</v>
      </c>
      <c r="P55" s="17" t="n">
        <f aca="false">SUMIF('Holdings by Account'!$B$5:$B$84,$A55,'Holdings by Account'!$V$5:$V$84)</f>
        <v>124.45</v>
      </c>
    </row>
    <row r="56" customFormat="false" ht="15" hidden="false" customHeight="false" outlineLevel="0" collapsed="false">
      <c r="A56" s="4" t="s">
        <v>227</v>
      </c>
      <c r="B56" s="4" t="s">
        <v>228</v>
      </c>
      <c r="C56" s="4" t="s">
        <v>218</v>
      </c>
      <c r="D56" s="4" t="s">
        <v>65</v>
      </c>
      <c r="E56" s="4" t="s">
        <v>103</v>
      </c>
      <c r="F56" s="4" t="s">
        <v>260</v>
      </c>
      <c r="G56" s="4" t="s">
        <v>198</v>
      </c>
      <c r="H56" s="17" t="n">
        <f aca="false">SUMIF('Holdings by Account'!$B$5:$B$84,$A56,'Holdings by Account'!$K$5:$K$84)</f>
        <v>3266.8</v>
      </c>
      <c r="I56" s="17" t="n">
        <f aca="false">SUMIF('Holdings by Account'!$B$5:$B$84,$A56,'Holdings by Account'!$P$5:$P$84)</f>
        <v>3552.43</v>
      </c>
      <c r="J56" s="17" t="n">
        <f aca="false">SUMIF('Holdings by Account'!$B$5:$B$84,$A56,'Holdings by Account'!$Q$5:$Q$84)</f>
        <v>2073.83</v>
      </c>
      <c r="K56" s="17" t="n">
        <f aca="false">SUMIF('Holdings by Account'!$B$5:$B$84,$A56,'Holdings by Account'!$R$5:$R$84)</f>
        <v>1478.6</v>
      </c>
      <c r="L56" s="8" t="n">
        <f aca="false">IF(J56=0,"",K56/J56)</f>
        <v>0.712980331078247</v>
      </c>
      <c r="M56" s="18" t="n">
        <v>0.0787749504799635</v>
      </c>
      <c r="N56" s="8" t="n">
        <f aca="false">I56/SUM($I$5:$I$65)</f>
        <v>0.00274046770372122</v>
      </c>
      <c r="O56" s="8" t="n">
        <f aca="false">SUM($N$5:N56)</f>
        <v>0.993493712186345</v>
      </c>
      <c r="P56" s="17" t="n">
        <f aca="false">SUMIF('Holdings by Account'!$B$5:$B$84,$A56,'Holdings by Account'!$V$5:$V$84)</f>
        <v>36.63</v>
      </c>
    </row>
    <row r="57" customFormat="false" ht="15" hidden="false" customHeight="false" outlineLevel="0" collapsed="false">
      <c r="A57" s="4" t="s">
        <v>179</v>
      </c>
      <c r="B57" s="4" t="s">
        <v>180</v>
      </c>
      <c r="C57" s="4" t="s">
        <v>178</v>
      </c>
      <c r="D57" s="4" t="s">
        <v>65</v>
      </c>
      <c r="E57" s="4" t="s">
        <v>103</v>
      </c>
      <c r="F57" s="4" t="s">
        <v>258</v>
      </c>
      <c r="G57" s="4" t="s">
        <v>248</v>
      </c>
      <c r="H57" s="17" t="n">
        <f aca="false">SUMIF('Holdings by Account'!$B$5:$B$84,$A57,'Holdings by Account'!$K$5:$K$84)</f>
        <v>0</v>
      </c>
      <c r="I57" s="17" t="n">
        <f aca="false">SUMIF('Holdings by Account'!$B$5:$B$84,$A57,'Holdings by Account'!$P$5:$P$84)</f>
        <v>3478.42</v>
      </c>
      <c r="J57" s="17" t="n">
        <f aca="false">SUMIF('Holdings by Account'!$B$5:$B$84,$A57,'Holdings by Account'!$Q$5:$Q$84)</f>
        <v>4367.35</v>
      </c>
      <c r="K57" s="17" t="n">
        <f aca="false">SUMIF('Holdings by Account'!$B$5:$B$84,$A57,'Holdings by Account'!$R$5:$R$84)</f>
        <v>-888.93</v>
      </c>
      <c r="L57" s="8" t="n">
        <f aca="false">IF(J57=0,"",K57/J57)</f>
        <v>-0.203539904060815</v>
      </c>
      <c r="M57" s="18"/>
      <c r="N57" s="8" t="n">
        <f aca="false">I57/SUM($I$5:$I$65)</f>
        <v>0.00268337382298257</v>
      </c>
      <c r="O57" s="8" t="n">
        <f aca="false">SUM($N$5:N57)</f>
        <v>0.996177086009328</v>
      </c>
      <c r="P57" s="17" t="n">
        <f aca="false">SUMIF('Holdings by Account'!$B$5:$B$84,$A57,'Holdings by Account'!$V$5:$V$84)</f>
        <v>0</v>
      </c>
    </row>
    <row r="58" customFormat="false" ht="15" hidden="false" customHeight="false" outlineLevel="0" collapsed="false">
      <c r="A58" s="4" t="s">
        <v>229</v>
      </c>
      <c r="B58" s="4" t="s">
        <v>230</v>
      </c>
      <c r="C58" s="4" t="s">
        <v>122</v>
      </c>
      <c r="D58" s="4" t="s">
        <v>65</v>
      </c>
      <c r="E58" s="4" t="s">
        <v>103</v>
      </c>
      <c r="F58" s="4" t="s">
        <v>252</v>
      </c>
      <c r="G58" s="4" t="s">
        <v>198</v>
      </c>
      <c r="H58" s="17" t="n">
        <f aca="false">SUMIF('Holdings by Account'!$B$5:$B$84,$A58,'Holdings by Account'!$K$5:$K$84)</f>
        <v>3797.88</v>
      </c>
      <c r="I58" s="17" t="n">
        <f aca="false">SUMIF('Holdings by Account'!$B$5:$B$84,$A58,'Holdings by Account'!$P$5:$P$84)</f>
        <v>3410.01</v>
      </c>
      <c r="J58" s="17" t="n">
        <f aca="false">SUMIF('Holdings by Account'!$B$5:$B$84,$A58,'Holdings by Account'!$Q$5:$Q$84)</f>
        <v>3178.47</v>
      </c>
      <c r="K58" s="17" t="n">
        <f aca="false">SUMIF('Holdings by Account'!$B$5:$B$84,$A58,'Holdings by Account'!$R$5:$R$84)</f>
        <v>231.54</v>
      </c>
      <c r="L58" s="8" t="n">
        <f aca="false">IF(J58=0,"",K58/J58)</f>
        <v>0.0728463694796553</v>
      </c>
      <c r="M58" s="18" t="n">
        <v>-0.111308116627266</v>
      </c>
      <c r="N58" s="8" t="n">
        <f aca="false">I58/SUM($I$5:$I$65)</f>
        <v>0.00263059997645736</v>
      </c>
      <c r="O58" s="8" t="n">
        <f aca="false">SUM($N$5:N58)</f>
        <v>0.998807685985785</v>
      </c>
      <c r="P58" s="17" t="n">
        <f aca="false">SUMIF('Holdings by Account'!$B$5:$B$84,$A58,'Holdings by Account'!$V$5:$V$84)</f>
        <v>77.11</v>
      </c>
    </row>
    <row r="59" customFormat="false" ht="15" hidden="false" customHeight="false" outlineLevel="0" collapsed="false">
      <c r="A59" s="4" t="s">
        <v>231</v>
      </c>
      <c r="B59" s="4" t="s">
        <v>232</v>
      </c>
      <c r="C59" s="4" t="s">
        <v>178</v>
      </c>
      <c r="D59" s="4" t="s">
        <v>65</v>
      </c>
      <c r="E59" s="4" t="s">
        <v>103</v>
      </c>
      <c r="F59" s="4" t="s">
        <v>258</v>
      </c>
      <c r="G59" s="4" t="s">
        <v>198</v>
      </c>
      <c r="H59" s="17" t="n">
        <f aca="false">SUMIF('Holdings by Account'!$B$5:$B$84,$A59,'Holdings by Account'!$K$5:$K$84)</f>
        <v>0</v>
      </c>
      <c r="I59" s="17" t="n">
        <f aca="false">SUMIF('Holdings by Account'!$B$5:$B$84,$A59,'Holdings by Account'!$P$5:$P$84)</f>
        <v>1545.58</v>
      </c>
      <c r="J59" s="17" t="n">
        <f aca="false">SUMIF('Holdings by Account'!$B$5:$B$84,$A59,'Holdings by Account'!$Q$5:$Q$84)</f>
        <v>1674.4</v>
      </c>
      <c r="K59" s="17" t="n">
        <f aca="false">SUMIF('Holdings by Account'!$B$5:$B$84,$A59,'Holdings by Account'!$R$5:$R$84)</f>
        <v>-128.82</v>
      </c>
      <c r="L59" s="8" t="n">
        <f aca="false">IF(J59=0,"",K59/J59)</f>
        <v>-0.0769350215002389</v>
      </c>
      <c r="M59" s="18"/>
      <c r="N59" s="8" t="n">
        <f aca="false">I59/SUM($I$5:$I$65)</f>
        <v>0.0011923140142149</v>
      </c>
      <c r="O59" s="8" t="n">
        <f aca="false">SUM($N$5:N59)</f>
        <v>1</v>
      </c>
      <c r="P59" s="17" t="n">
        <f aca="false">SUMIF('Holdings by Account'!$B$5:$B$84,$A59,'Holdings by Account'!$V$5:$V$84)</f>
        <v>26.69</v>
      </c>
    </row>
    <row r="60" customFormat="false" ht="15" hidden="false" customHeight="false" outlineLevel="0" collapsed="false">
      <c r="A60" s="4" t="s">
        <v>92</v>
      </c>
      <c r="B60" s="4" t="s">
        <v>93</v>
      </c>
      <c r="C60" s="4" t="s">
        <v>94</v>
      </c>
      <c r="D60" s="4" t="s">
        <v>65</v>
      </c>
      <c r="E60" s="4" t="s">
        <v>66</v>
      </c>
      <c r="F60" s="4"/>
      <c r="G60" s="4"/>
      <c r="H60" s="17" t="n">
        <f aca="false">SUMIF('Holdings by Account'!$B$5:$B$84,$A60,'Holdings by Account'!$K$5:$K$84)</f>
        <v>106058.27</v>
      </c>
      <c r="I60" s="17" t="n">
        <f aca="false">SUMIF('Holdings by Account'!$B$5:$B$84,$A60,'Holdings by Account'!$P$5:$P$84)</f>
        <v>0</v>
      </c>
      <c r="J60" s="17" t="n">
        <f aca="false">SUMIF('Holdings by Account'!$B$5:$B$84,$A60,'Holdings by Account'!$Q$5:$Q$84)</f>
        <v>0</v>
      </c>
      <c r="K60" s="17" t="n">
        <f aca="false">SUMIF('Holdings by Account'!$B$5:$B$84,$A60,'Holdings by Account'!$R$5:$R$84)</f>
        <v>0</v>
      </c>
      <c r="L60" s="8" t="str">
        <f aca="false">IF(J60=0,"",K60/J60)</f>
        <v/>
      </c>
      <c r="M60" s="18"/>
      <c r="N60" s="8" t="n">
        <f aca="false">I60/SUM($I$5:$I$65)</f>
        <v>0</v>
      </c>
      <c r="O60" s="8" t="n">
        <f aca="false">SUM($N$5:N60)</f>
        <v>1</v>
      </c>
      <c r="P60" s="17" t="n">
        <f aca="false">SUMIF('Holdings by Account'!$B$5:$B$84,$A60,'Holdings by Account'!$V$5:$V$84)</f>
        <v>0</v>
      </c>
    </row>
    <row r="61" customFormat="false" ht="15" hidden="false" customHeight="false" outlineLevel="0" collapsed="false">
      <c r="A61" s="4" t="s">
        <v>181</v>
      </c>
      <c r="B61" s="4" t="s">
        <v>182</v>
      </c>
      <c r="C61" s="4" t="s">
        <v>99</v>
      </c>
      <c r="D61" s="4" t="s">
        <v>65</v>
      </c>
      <c r="E61" s="4" t="s">
        <v>66</v>
      </c>
      <c r="F61" s="4"/>
      <c r="G61" s="4"/>
      <c r="H61" s="17" t="n">
        <f aca="false">SUMIF('Holdings by Account'!$B$5:$B$84,$A61,'Holdings by Account'!$K$5:$K$84)</f>
        <v>14208.75</v>
      </c>
      <c r="I61" s="17" t="n">
        <f aca="false">SUMIF('Holdings by Account'!$B$5:$B$84,$A61,'Holdings by Account'!$P$5:$P$84)</f>
        <v>0</v>
      </c>
      <c r="J61" s="17" t="n">
        <f aca="false">SUMIF('Holdings by Account'!$B$5:$B$84,$A61,'Holdings by Account'!$Q$5:$Q$84)</f>
        <v>0</v>
      </c>
      <c r="K61" s="17" t="n">
        <f aca="false">SUMIF('Holdings by Account'!$B$5:$B$84,$A61,'Holdings by Account'!$R$5:$R$84)</f>
        <v>0</v>
      </c>
      <c r="L61" s="8" t="str">
        <f aca="false">IF(J61=0,"",K61/J61)</f>
        <v/>
      </c>
      <c r="M61" s="18"/>
      <c r="N61" s="8" t="n">
        <f aca="false">I61/SUM($I$5:$I$65)</f>
        <v>0</v>
      </c>
      <c r="O61" s="8" t="n">
        <f aca="false">SUM($N$5:N61)</f>
        <v>1</v>
      </c>
      <c r="P61" s="17" t="n">
        <f aca="false">SUMIF('Holdings by Account'!$B$5:$B$84,$A61,'Holdings by Account'!$V$5:$V$84)</f>
        <v>0</v>
      </c>
    </row>
    <row r="62" customFormat="false" ht="15" hidden="false" customHeight="false" outlineLevel="0" collapsed="false">
      <c r="A62" s="4" t="s">
        <v>183</v>
      </c>
      <c r="B62" s="4" t="s">
        <v>184</v>
      </c>
      <c r="C62" s="4" t="s">
        <v>185</v>
      </c>
      <c r="D62" s="4" t="s">
        <v>65</v>
      </c>
      <c r="E62" s="4" t="s">
        <v>66</v>
      </c>
      <c r="F62" s="4"/>
      <c r="G62" s="4"/>
      <c r="H62" s="17" t="n">
        <f aca="false">SUMIF('Holdings by Account'!$B$5:$B$84,$A62,'Holdings by Account'!$K$5:$K$84)</f>
        <v>24805.07</v>
      </c>
      <c r="I62" s="17" t="n">
        <f aca="false">SUMIF('Holdings by Account'!$B$5:$B$84,$A62,'Holdings by Account'!$P$5:$P$84)</f>
        <v>0</v>
      </c>
      <c r="J62" s="17" t="n">
        <f aca="false">SUMIF('Holdings by Account'!$B$5:$B$84,$A62,'Holdings by Account'!$Q$5:$Q$84)</f>
        <v>0</v>
      </c>
      <c r="K62" s="17" t="n">
        <f aca="false">SUMIF('Holdings by Account'!$B$5:$B$84,$A62,'Holdings by Account'!$R$5:$R$84)</f>
        <v>0</v>
      </c>
      <c r="L62" s="8" t="str">
        <f aca="false">IF(J62=0,"",K62/J62)</f>
        <v/>
      </c>
      <c r="M62" s="18"/>
      <c r="N62" s="8" t="n">
        <f aca="false">I62/SUM($I$5:$I$65)</f>
        <v>0</v>
      </c>
      <c r="O62" s="8" t="n">
        <f aca="false">SUM($N$5:N62)</f>
        <v>1</v>
      </c>
      <c r="P62" s="17" t="n">
        <f aca="false">SUMIF('Holdings by Account'!$B$5:$B$84,$A62,'Holdings by Account'!$V$5:$V$84)</f>
        <v>0</v>
      </c>
    </row>
    <row r="63" customFormat="false" ht="15" hidden="false" customHeight="false" outlineLevel="0" collapsed="false">
      <c r="A63" s="4" t="s">
        <v>194</v>
      </c>
      <c r="B63" s="4" t="s">
        <v>195</v>
      </c>
      <c r="C63" s="4" t="s">
        <v>197</v>
      </c>
      <c r="D63" s="4" t="s">
        <v>190</v>
      </c>
      <c r="E63" s="4" t="s">
        <v>190</v>
      </c>
      <c r="F63" s="4"/>
      <c r="G63" s="4"/>
      <c r="H63" s="17" t="n">
        <f aca="false">SUMIF('Holdings by Account'!$B$5:$B$84,$A63,'Holdings by Account'!$K$5:$K$84)</f>
        <v>32222.4</v>
      </c>
      <c r="I63" s="17" t="n">
        <f aca="false">SUMIF('Holdings by Account'!$B$5:$B$84,$A63,'Holdings by Account'!$P$5:$P$84)</f>
        <v>0</v>
      </c>
      <c r="J63" s="17" t="n">
        <f aca="false">SUMIF('Holdings by Account'!$B$5:$B$84,$A63,'Holdings by Account'!$Q$5:$Q$84)</f>
        <v>0</v>
      </c>
      <c r="K63" s="17" t="n">
        <f aca="false">SUMIF('Holdings by Account'!$B$5:$B$84,$A63,'Holdings by Account'!$R$5:$R$84)</f>
        <v>0</v>
      </c>
      <c r="L63" s="8" t="str">
        <f aca="false">IF(J63=0,"",K63/J63)</f>
        <v/>
      </c>
      <c r="M63" s="18"/>
      <c r="N63" s="8" t="n">
        <f aca="false">I63/SUM($I$5:$I$65)</f>
        <v>0</v>
      </c>
      <c r="O63" s="8" t="n">
        <f aca="false">SUM($N$5:N63)</f>
        <v>1</v>
      </c>
      <c r="P63" s="17" t="n">
        <f aca="false">SUMIF('Holdings by Account'!$B$5:$B$84,$A63,'Holdings by Account'!$V$5:$V$84)</f>
        <v>0</v>
      </c>
    </row>
    <row r="64" customFormat="false" ht="15" hidden="false" customHeight="false" outlineLevel="0" collapsed="false">
      <c r="A64" s="4" t="s">
        <v>233</v>
      </c>
      <c r="B64" s="4" t="s">
        <v>234</v>
      </c>
      <c r="C64" s="4" t="s">
        <v>102</v>
      </c>
      <c r="D64" s="4" t="s">
        <v>65</v>
      </c>
      <c r="E64" s="4" t="s">
        <v>103</v>
      </c>
      <c r="F64" s="4" t="s">
        <v>247</v>
      </c>
      <c r="G64" s="4"/>
      <c r="H64" s="17" t="n">
        <f aca="false">SUMIF('Holdings by Account'!$B$5:$B$84,$A64,'Holdings by Account'!$K$5:$K$84)</f>
        <v>2988.92</v>
      </c>
      <c r="I64" s="17" t="n">
        <f aca="false">SUMIF('Holdings by Account'!$B$5:$B$84,$A64,'Holdings by Account'!$P$5:$P$84)</f>
        <v>0</v>
      </c>
      <c r="J64" s="17" t="n">
        <f aca="false">SUMIF('Holdings by Account'!$B$5:$B$84,$A64,'Holdings by Account'!$Q$5:$Q$84)</f>
        <v>0</v>
      </c>
      <c r="K64" s="17" t="n">
        <f aca="false">SUMIF('Holdings by Account'!$B$5:$B$84,$A64,'Holdings by Account'!$R$5:$R$84)</f>
        <v>0</v>
      </c>
      <c r="L64" s="8" t="str">
        <f aca="false">IF(J64=0,"",K64/J64)</f>
        <v/>
      </c>
      <c r="M64" s="18"/>
      <c r="N64" s="8" t="n">
        <f aca="false">I64/SUM($I$5:$I$65)</f>
        <v>0</v>
      </c>
      <c r="O64" s="8" t="n">
        <f aca="false">SUM($N$5:N64)</f>
        <v>1</v>
      </c>
      <c r="P64" s="17" t="n">
        <f aca="false">SUMIF('Holdings by Account'!$B$5:$B$84,$A64,'Holdings by Account'!$V$5:$V$84)</f>
        <v>0</v>
      </c>
    </row>
    <row r="65" customFormat="false" ht="15" hidden="false" customHeight="false" outlineLevel="0" collapsed="false">
      <c r="A65" s="4" t="s">
        <v>235</v>
      </c>
      <c r="B65" s="4" t="s">
        <v>236</v>
      </c>
      <c r="C65" s="4" t="s">
        <v>142</v>
      </c>
      <c r="D65" s="4" t="s">
        <v>65</v>
      </c>
      <c r="E65" s="4" t="s">
        <v>103</v>
      </c>
      <c r="F65" s="4" t="s">
        <v>253</v>
      </c>
      <c r="G65" s="4"/>
      <c r="H65" s="17" t="n">
        <f aca="false">SUMIF('Holdings by Account'!$B$5:$B$84,$A65,'Holdings by Account'!$K$5:$K$84)</f>
        <v>4081.44</v>
      </c>
      <c r="I65" s="17" t="n">
        <f aca="false">SUMIF('Holdings by Account'!$B$5:$B$84,$A65,'Holdings by Account'!$P$5:$P$84)</f>
        <v>0</v>
      </c>
      <c r="J65" s="17" t="n">
        <f aca="false">SUMIF('Holdings by Account'!$B$5:$B$84,$A65,'Holdings by Account'!$Q$5:$Q$84)</f>
        <v>0</v>
      </c>
      <c r="K65" s="17" t="n">
        <f aca="false">SUMIF('Holdings by Account'!$B$5:$B$84,$A65,'Holdings by Account'!$R$5:$R$84)</f>
        <v>0</v>
      </c>
      <c r="L65" s="8" t="str">
        <f aca="false">IF(J65=0,"",K65/J65)</f>
        <v/>
      </c>
      <c r="M65" s="18"/>
      <c r="N65" s="8" t="n">
        <f aca="false">I65/SUM($I$5:$I$65)</f>
        <v>0</v>
      </c>
      <c r="O65" s="8" t="n">
        <f aca="false">SUM($N$5:N65)</f>
        <v>1</v>
      </c>
      <c r="P65" s="17" t="n">
        <f aca="false">SUMIF('Holdings by Account'!$B$5:$B$84,$A65,'Holdings by Account'!$V$5:$V$84)</f>
        <v>0</v>
      </c>
    </row>
    <row r="67" customFormat="false" ht="15" hidden="false" customHeight="false" outlineLevel="0" collapsed="false">
      <c r="A67" s="9" t="s">
        <v>237</v>
      </c>
      <c r="B67" s="16"/>
      <c r="C67" s="16"/>
      <c r="D67" s="16"/>
      <c r="E67" s="16"/>
      <c r="F67" s="16"/>
      <c r="G67" s="16"/>
      <c r="H67" s="11" t="n">
        <f aca="false">SUM(H5:H65)</f>
        <v>1209762.46</v>
      </c>
      <c r="I67" s="11" t="n">
        <f aca="false">SUM(I5:I65)</f>
        <v>1296286.03</v>
      </c>
      <c r="J67" s="11" t="n">
        <f aca="false">SUM(J5:J65)</f>
        <v>952495.41</v>
      </c>
      <c r="K67" s="11" t="n">
        <f aca="false">SUM(K5:K65)</f>
        <v>343790.62</v>
      </c>
      <c r="L67" s="12" t="n">
        <f aca="false">K67/J67</f>
        <v>0.3609367734381</v>
      </c>
      <c r="M67" s="16"/>
      <c r="N67" s="12" t="n">
        <f aca="false">SUM(N5:N65)</f>
        <v>1</v>
      </c>
      <c r="O67" s="16"/>
      <c r="P67" s="11" t="n">
        <f aca="false">SUM(P5:P65)</f>
        <v>23484.98</v>
      </c>
    </row>
  </sheetData>
  <autoFilter ref="A4:P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261</v>
      </c>
    </row>
    <row r="3" customFormat="false" ht="15" hidden="false" customHeight="false" outlineLevel="0" collapsed="false">
      <c r="A3" s="13" t="s">
        <v>262</v>
      </c>
    </row>
    <row r="4" customFormat="false" ht="30" hidden="false" customHeight="true" outlineLevel="0" collapsed="false">
      <c r="A4" s="3" t="s">
        <v>263</v>
      </c>
      <c r="B4" s="3" t="s">
        <v>48</v>
      </c>
      <c r="C4" s="3" t="s">
        <v>264</v>
      </c>
      <c r="D4" s="3" t="s">
        <v>53</v>
      </c>
      <c r="E4" s="3" t="s">
        <v>265</v>
      </c>
      <c r="F4" s="3" t="s">
        <v>266</v>
      </c>
    </row>
    <row r="5" customFormat="false" ht="15" hidden="false" customHeight="false" outlineLevel="0" collapsed="false">
      <c r="A5" s="4" t="s">
        <v>65</v>
      </c>
      <c r="B5" s="17" t="n">
        <f aca="false">SUMIF('Holdings by Account'!$F$5:$F$84,$A5,'Holdings by Account'!$K$5:$K$84)</f>
        <v>807060.67</v>
      </c>
      <c r="C5" s="8" t="n">
        <f aca="false">B5/$B$10</f>
        <v>0.667123254923946</v>
      </c>
      <c r="D5" s="17" t="n">
        <f aca="false">SUMIF('Holdings by Account'!$F$5:$F$84,$A5,'Holdings by Account'!$P$5:$P$84)</f>
        <v>939726.65</v>
      </c>
      <c r="E5" s="8" t="n">
        <f aca="false">D5/$D$10</f>
        <v>0.724937728442541</v>
      </c>
      <c r="F5" s="8" t="n">
        <f aca="false">E5-C5</f>
        <v>0.0578144735185953</v>
      </c>
    </row>
    <row r="6" customFormat="false" ht="15" hidden="false" customHeight="false" outlineLevel="0" collapsed="false">
      <c r="A6" s="4" t="s">
        <v>76</v>
      </c>
      <c r="B6" s="17" t="n">
        <f aca="false">SUMIF('Holdings by Account'!$F$5:$F$84,$A6,'Holdings by Account'!$K$5:$K$84)</f>
        <v>212158.2</v>
      </c>
      <c r="C6" s="8" t="n">
        <f aca="false">B6/$B$10</f>
        <v>0.175371783316867</v>
      </c>
      <c r="D6" s="17" t="n">
        <f aca="false">SUMIF('Holdings by Account'!$F$5:$F$84,$A6,'Holdings by Account'!$P$5:$P$84)</f>
        <v>203906.14</v>
      </c>
      <c r="E6" s="8" t="n">
        <f aca="false">D6/$D$10</f>
        <v>0.157300268058894</v>
      </c>
      <c r="F6" s="8" t="n">
        <f aca="false">E6-C6</f>
        <v>-0.0180715152579727</v>
      </c>
    </row>
    <row r="7" customFormat="false" ht="15" hidden="false" customHeight="false" outlineLevel="0" collapsed="false">
      <c r="A7" s="4" t="s">
        <v>112</v>
      </c>
      <c r="B7" s="17" t="n">
        <f aca="false">SUMIF('Holdings by Account'!$F$5:$F$84,$A7,'Holdings by Account'!$K$5:$K$84)</f>
        <v>89570.27</v>
      </c>
      <c r="C7" s="8" t="n">
        <f aca="false">B7/$B$10</f>
        <v>0.0740395515331167</v>
      </c>
      <c r="D7" s="17" t="n">
        <f aca="false">SUMIF('Holdings by Account'!$F$5:$F$84,$A7,'Holdings by Account'!$P$5:$P$84)</f>
        <v>76719.5</v>
      </c>
      <c r="E7" s="8" t="n">
        <f aca="false">D7/$D$10</f>
        <v>0.059184083006742</v>
      </c>
      <c r="F7" s="8" t="n">
        <f aca="false">E7-C7</f>
        <v>-0.0148554685263747</v>
      </c>
    </row>
    <row r="8" customFormat="false" ht="15" hidden="false" customHeight="false" outlineLevel="0" collapsed="false">
      <c r="A8" s="4" t="s">
        <v>190</v>
      </c>
      <c r="B8" s="17" t="n">
        <f aca="false">SUMIF('Holdings by Account'!$F$5:$F$84,$A8,'Holdings by Account'!$K$5:$K$84)</f>
        <v>63656.4</v>
      </c>
      <c r="C8" s="8" t="n">
        <f aca="false">B8/$B$10</f>
        <v>0.0526189248755495</v>
      </c>
      <c r="D8" s="17" t="n">
        <f aca="false">SUMIF('Holdings by Account'!$F$5:$F$84,$A8,'Holdings by Account'!$P$5:$P$84)</f>
        <v>67663.8</v>
      </c>
      <c r="E8" s="8" t="n">
        <f aca="false">D8/$D$10</f>
        <v>0.0521982019662744</v>
      </c>
      <c r="F8" s="8" t="n">
        <f aca="false">E8-C8</f>
        <v>-0.000420722909275167</v>
      </c>
    </row>
    <row r="9" customFormat="false" ht="15" hidden="false" customHeight="false" outlineLevel="0" collapsed="false">
      <c r="A9" s="4" t="s">
        <v>90</v>
      </c>
      <c r="B9" s="17" t="n">
        <f aca="false">SUMIF('Holdings by Account'!$F$5:$F$84,$A9,'Holdings by Account'!$K$5:$K$84)</f>
        <v>37316.92</v>
      </c>
      <c r="C9" s="8" t="n">
        <f aca="false">B9/$B$10</f>
        <v>0.0308464853505208</v>
      </c>
      <c r="D9" s="17" t="n">
        <f aca="false">SUMIF('Holdings by Account'!$F$5:$F$84,$A9,'Holdings by Account'!$P$5:$P$84)</f>
        <v>8269.94</v>
      </c>
      <c r="E9" s="8" t="n">
        <f aca="false">D9/$D$10</f>
        <v>0.00637971852554795</v>
      </c>
      <c r="F9" s="8" t="n">
        <f aca="false">E9-C9</f>
        <v>-0.0244667668249729</v>
      </c>
    </row>
    <row r="10" customFormat="false" ht="15" hidden="false" customHeight="false" outlineLevel="0" collapsed="false">
      <c r="A10" s="9" t="s">
        <v>267</v>
      </c>
      <c r="B10" s="11" t="n">
        <f aca="false">SUM(B5:B9)</f>
        <v>1209762.46</v>
      </c>
      <c r="C10" s="12" t="n">
        <f aca="false">SUM(C5:C9)</f>
        <v>1</v>
      </c>
      <c r="D10" s="11" t="n">
        <f aca="false">SUM(D5:D9)</f>
        <v>1296286.03</v>
      </c>
      <c r="E10" s="12" t="n">
        <f aca="false">SUM(E5:E9)</f>
        <v>1</v>
      </c>
      <c r="F10" s="16"/>
    </row>
    <row r="12" customFormat="false" ht="15" hidden="false" customHeight="false" outlineLevel="0" collapsed="false">
      <c r="A12" s="13" t="s">
        <v>268</v>
      </c>
    </row>
    <row r="13" customFormat="false" ht="30" hidden="false" customHeight="true" outlineLevel="0" collapsed="false">
      <c r="A13" s="3" t="s">
        <v>263</v>
      </c>
      <c r="B13" s="3" t="s">
        <v>48</v>
      </c>
      <c r="C13" s="3" t="s">
        <v>264</v>
      </c>
      <c r="D13" s="3" t="s">
        <v>53</v>
      </c>
      <c r="E13" s="3" t="s">
        <v>265</v>
      </c>
      <c r="F13" s="3" t="s">
        <v>266</v>
      </c>
    </row>
    <row r="14" customFormat="false" ht="15" hidden="false" customHeight="false" outlineLevel="0" collapsed="false">
      <c r="A14" s="4" t="s">
        <v>66</v>
      </c>
      <c r="B14" s="17" t="n">
        <f aca="false">SUMIF('Holdings by Account'!$G$5:$G$84,$A14,'Holdings by Account'!$K$5:$K$84)</f>
        <v>692754.65</v>
      </c>
      <c r="C14" s="8" t="n">
        <f aca="false">B14/$B$18</f>
        <v>0.572636920805098</v>
      </c>
      <c r="D14" s="17" t="n">
        <f aca="false">SUMIF('Holdings by Account'!$G$5:$G$84,$A14,'Holdings by Account'!$P$5:$P$84)</f>
        <v>748109.89</v>
      </c>
      <c r="E14" s="8" t="n">
        <f aca="false">D14/$D$18</f>
        <v>0.577117914323276</v>
      </c>
      <c r="F14" s="8" t="n">
        <f aca="false">E14-C14</f>
        <v>0.00448099351817877</v>
      </c>
    </row>
    <row r="15" customFormat="false" ht="15" hidden="false" customHeight="false" outlineLevel="0" collapsed="false">
      <c r="A15" s="4" t="s">
        <v>103</v>
      </c>
      <c r="B15" s="17" t="n">
        <f aca="false">SUMIF('Holdings by Account'!$G$5:$G$84,$A15,'Holdings by Account'!$K$5:$K$84)</f>
        <v>416034.49</v>
      </c>
      <c r="C15" s="8" t="n">
        <f aca="false">B15/$B$18</f>
        <v>0.343897668968832</v>
      </c>
      <c r="D15" s="17" t="n">
        <f aca="false">SUMIF('Holdings by Account'!$G$5:$G$84,$A15,'Holdings by Account'!$P$5:$P$84)</f>
        <v>472242.4</v>
      </c>
      <c r="E15" s="8" t="n">
        <f aca="false">D15/$D$18</f>
        <v>0.364304165184901</v>
      </c>
      <c r="F15" s="8" t="n">
        <f aca="false">E15-C15</f>
        <v>0.0204064962160693</v>
      </c>
    </row>
    <row r="16" customFormat="false" ht="15" hidden="false" customHeight="false" outlineLevel="0" collapsed="false">
      <c r="A16" s="4" t="s">
        <v>190</v>
      </c>
      <c r="B16" s="17" t="n">
        <f aca="false">SUMIF('Holdings by Account'!$G$5:$G$84,$A16,'Holdings by Account'!$K$5:$K$84)</f>
        <v>63656.4</v>
      </c>
      <c r="C16" s="8" t="n">
        <f aca="false">B16/$B$18</f>
        <v>0.0526189248755495</v>
      </c>
      <c r="D16" s="17" t="n">
        <f aca="false">SUMIF('Holdings by Account'!$G$5:$G$84,$A16,'Holdings by Account'!$P$5:$P$84)</f>
        <v>67663.8</v>
      </c>
      <c r="E16" s="8" t="n">
        <f aca="false">D16/$D$18</f>
        <v>0.0521982019662744</v>
      </c>
      <c r="F16" s="8" t="n">
        <f aca="false">E16-C16</f>
        <v>-0.000420722909275167</v>
      </c>
    </row>
    <row r="17" customFormat="false" ht="15" hidden="false" customHeight="false" outlineLevel="0" collapsed="false">
      <c r="A17" s="4" t="s">
        <v>90</v>
      </c>
      <c r="B17" s="17" t="n">
        <f aca="false">SUMIF('Holdings by Account'!$G$5:$G$84,$A17,'Holdings by Account'!$K$5:$K$84)</f>
        <v>37316.92</v>
      </c>
      <c r="C17" s="8" t="n">
        <f aca="false">B17/$B$18</f>
        <v>0.0308464853505208</v>
      </c>
      <c r="D17" s="17" t="n">
        <f aca="false">SUMIF('Holdings by Account'!$G$5:$G$84,$A17,'Holdings by Account'!$P$5:$P$84)</f>
        <v>8269.94</v>
      </c>
      <c r="E17" s="8" t="n">
        <f aca="false">D17/$D$18</f>
        <v>0.00637971852554795</v>
      </c>
      <c r="F17" s="8" t="n">
        <f aca="false">E17-C17</f>
        <v>-0.0244667668249729</v>
      </c>
    </row>
    <row r="18" customFormat="false" ht="15" hidden="false" customHeight="false" outlineLevel="0" collapsed="false">
      <c r="A18" s="9" t="s">
        <v>267</v>
      </c>
      <c r="B18" s="11" t="n">
        <f aca="false">SUM(B14:B17)</f>
        <v>1209762.46</v>
      </c>
      <c r="C18" s="12" t="n">
        <f aca="false">SUM(C14:C17)</f>
        <v>1</v>
      </c>
      <c r="D18" s="11" t="n">
        <f aca="false">SUM(D14:D17)</f>
        <v>1296286.03</v>
      </c>
      <c r="E18" s="12" t="n">
        <f aca="false">SUM(E14:E17)</f>
        <v>1</v>
      </c>
      <c r="F18" s="16"/>
    </row>
    <row r="20" customFormat="false" ht="15" hidden="false" customHeight="false" outlineLevel="0" collapsed="false">
      <c r="A20" s="13" t="s">
        <v>269</v>
      </c>
    </row>
    <row r="21" customFormat="false" ht="30" hidden="false" customHeight="true" outlineLevel="0" collapsed="false">
      <c r="A21" s="3" t="s">
        <v>263</v>
      </c>
      <c r="B21" s="3" t="s">
        <v>48</v>
      </c>
      <c r="C21" s="3" t="s">
        <v>264</v>
      </c>
      <c r="D21" s="3" t="s">
        <v>53</v>
      </c>
      <c r="E21" s="3" t="s">
        <v>265</v>
      </c>
      <c r="F21" s="3" t="s">
        <v>266</v>
      </c>
    </row>
    <row r="22" customFormat="false" ht="15" hidden="false" customHeight="false" outlineLevel="0" collapsed="false">
      <c r="A22" s="4" t="s">
        <v>102</v>
      </c>
      <c r="B22" s="17" t="n">
        <f aca="false">SUMIF('Holdings by Account'!$E$5:$E$84,$A22,'Holdings by Account'!$K$5:$K$84)</f>
        <v>148665.45</v>
      </c>
      <c r="C22" s="8" t="n">
        <f aca="false">B22/$B$54</f>
        <v>0.122888132931485</v>
      </c>
      <c r="D22" s="17" t="n">
        <f aca="false">SUMIF('Holdings by Account'!$E$5:$E$84,$A22,'Holdings by Account'!$P$5:$P$84)</f>
        <v>163924.29</v>
      </c>
      <c r="E22" s="8" t="n">
        <f aca="false">D22/$D$54</f>
        <v>0.126456882359521</v>
      </c>
      <c r="F22" s="8" t="n">
        <f aca="false">E22-C22</f>
        <v>0.00356874942803584</v>
      </c>
    </row>
    <row r="23" customFormat="false" ht="15" hidden="false" customHeight="false" outlineLevel="0" collapsed="false">
      <c r="A23" s="4" t="s">
        <v>70</v>
      </c>
      <c r="B23" s="17" t="n">
        <f aca="false">SUMIF('Holdings by Account'!$E$5:$E$84,$A23,'Holdings by Account'!$K$5:$K$84)</f>
        <v>104323.35</v>
      </c>
      <c r="C23" s="8" t="n">
        <f aca="false">B23/$B$54</f>
        <v>0.086234573686474</v>
      </c>
      <c r="D23" s="17" t="n">
        <f aca="false">SUMIF('Holdings by Account'!$E$5:$E$84,$A23,'Holdings by Account'!$P$5:$P$84)</f>
        <v>142583.32</v>
      </c>
      <c r="E23" s="8" t="n">
        <f aca="false">D23/$D$54</f>
        <v>0.109993717975962</v>
      </c>
      <c r="F23" s="8" t="n">
        <f aca="false">E23-C23</f>
        <v>0.0237591442894885</v>
      </c>
    </row>
    <row r="24" customFormat="false" ht="15" hidden="false" customHeight="false" outlineLevel="0" collapsed="false">
      <c r="A24" s="4" t="s">
        <v>64</v>
      </c>
      <c r="B24" s="17" t="n">
        <f aca="false">SUMIF('Holdings by Account'!$E$5:$E$84,$A24,'Holdings by Account'!$K$5:$K$84)</f>
        <v>0</v>
      </c>
      <c r="C24" s="8" t="n">
        <f aca="false">B24/$B$54</f>
        <v>0</v>
      </c>
      <c r="D24" s="17" t="n">
        <f aca="false">SUMIF('Holdings by Account'!$E$5:$E$84,$A24,'Holdings by Account'!$P$5:$P$84)</f>
        <v>116848.76</v>
      </c>
      <c r="E24" s="8" t="n">
        <f aca="false">D24/$D$54</f>
        <v>0.0901411858924377</v>
      </c>
      <c r="F24" s="8" t="n">
        <f aca="false">E24-C24</f>
        <v>0.0901411858924377</v>
      </c>
    </row>
    <row r="25" customFormat="false" ht="15" hidden="false" customHeight="false" outlineLevel="0" collapsed="false">
      <c r="A25" s="4" t="s">
        <v>75</v>
      </c>
      <c r="B25" s="17" t="n">
        <f aca="false">SUMIF('Holdings by Account'!$E$5:$E$84,$A25,'Holdings by Account'!$K$5:$K$84)</f>
        <v>109112.55</v>
      </c>
      <c r="C25" s="8" t="n">
        <f aca="false">B25/$B$54</f>
        <v>0.0901933673822215</v>
      </c>
      <c r="D25" s="17" t="n">
        <f aca="false">SUMIF('Holdings by Account'!$E$5:$E$84,$A25,'Holdings by Account'!$P$5:$P$84)</f>
        <v>99714.48</v>
      </c>
      <c r="E25" s="8" t="n">
        <f aca="false">D25/$D$54</f>
        <v>0.0769232080669727</v>
      </c>
      <c r="F25" s="8" t="n">
        <f aca="false">E25-C25</f>
        <v>-0.0132701593152488</v>
      </c>
    </row>
    <row r="26" customFormat="false" ht="15" hidden="false" customHeight="false" outlineLevel="0" collapsed="false">
      <c r="A26" s="4" t="s">
        <v>99</v>
      </c>
      <c r="B26" s="17" t="n">
        <f aca="false">SUMIF('Holdings by Account'!$E$5:$E$84,$A26,'Holdings by Account'!$K$5:$K$84)</f>
        <v>84954.32</v>
      </c>
      <c r="C26" s="8" t="n">
        <f aca="false">B26/$B$54</f>
        <v>0.0702239677696727</v>
      </c>
      <c r="D26" s="17" t="n">
        <f aca="false">SUMIF('Holdings by Account'!$E$5:$E$84,$A26,'Holdings by Account'!$P$5:$P$84)</f>
        <v>84443.01</v>
      </c>
      <c r="E26" s="8" t="n">
        <f aca="false">D26/$D$54</f>
        <v>0.065142266479567</v>
      </c>
      <c r="F26" s="8" t="n">
        <f aca="false">E26-C26</f>
        <v>-0.00508170129010574</v>
      </c>
    </row>
    <row r="27" customFormat="false" ht="15" hidden="false" customHeight="false" outlineLevel="0" collapsed="false">
      <c r="A27" s="4" t="s">
        <v>115</v>
      </c>
      <c r="B27" s="17" t="n">
        <f aca="false">SUMIF('Holdings by Account'!$E$5:$E$84,$A27,'Holdings by Account'!$K$5:$K$84)</f>
        <v>59956.45</v>
      </c>
      <c r="C27" s="8" t="n">
        <f aca="false">B27/$B$54</f>
        <v>0.0495605145492777</v>
      </c>
      <c r="D27" s="17" t="n">
        <f aca="false">SUMIF('Holdings by Account'!$E$5:$E$84,$A27,'Holdings by Account'!$P$5:$P$84)</f>
        <v>67547.76</v>
      </c>
      <c r="E27" s="8" t="n">
        <f aca="false">D27/$D$54</f>
        <v>0.0521086846858945</v>
      </c>
      <c r="F27" s="8" t="n">
        <f aca="false">E27-C27</f>
        <v>0.0025481701366168</v>
      </c>
    </row>
    <row r="28" customFormat="false" ht="15" hidden="false" customHeight="false" outlineLevel="0" collapsed="false">
      <c r="A28" s="4" t="s">
        <v>122</v>
      </c>
      <c r="B28" s="17" t="n">
        <f aca="false">SUMIF('Holdings by Account'!$E$5:$E$84,$A28,'Holdings by Account'!$K$5:$K$84)</f>
        <v>62843.08</v>
      </c>
      <c r="C28" s="8" t="n">
        <f aca="false">B28/$B$54</f>
        <v>0.0519466276048936</v>
      </c>
      <c r="D28" s="17" t="n">
        <f aca="false">SUMIF('Holdings by Account'!$E$5:$E$84,$A28,'Holdings by Account'!$P$5:$P$84)</f>
        <v>62449.77</v>
      </c>
      <c r="E28" s="8" t="n">
        <f aca="false">D28/$D$54</f>
        <v>0.048175918396652</v>
      </c>
      <c r="F28" s="8" t="n">
        <f aca="false">E28-C28</f>
        <v>-0.0037707092082416</v>
      </c>
    </row>
    <row r="29" customFormat="false" ht="15" hidden="false" customHeight="false" outlineLevel="0" collapsed="false">
      <c r="A29" s="4" t="s">
        <v>201</v>
      </c>
      <c r="B29" s="17" t="n">
        <f aca="false">SUMIF('Holdings by Account'!$E$5:$E$84,$A29,'Holdings by Account'!$K$5:$K$84)</f>
        <v>64123.34</v>
      </c>
      <c r="C29" s="8" t="n">
        <f aca="false">B29/$B$54</f>
        <v>0.053004901474625</v>
      </c>
      <c r="D29" s="17" t="n">
        <f aca="false">SUMIF('Holdings by Account'!$E$5:$E$84,$A29,'Holdings by Account'!$P$5:$P$84)</f>
        <v>48801.29</v>
      </c>
      <c r="E29" s="8" t="n">
        <f aca="false">D29/$D$54</f>
        <v>0.0376470075821152</v>
      </c>
      <c r="F29" s="8" t="n">
        <f aca="false">E29-C29</f>
        <v>-0.0153578938925098</v>
      </c>
    </row>
    <row r="30" customFormat="false" ht="15" hidden="false" customHeight="false" outlineLevel="0" collapsed="false">
      <c r="A30" s="4" t="s">
        <v>80</v>
      </c>
      <c r="B30" s="17" t="n">
        <f aca="false">SUMIF('Holdings by Account'!$E$5:$E$84,$A30,'Holdings by Account'!$K$5:$K$84)</f>
        <v>42158.56</v>
      </c>
      <c r="C30" s="8" t="n">
        <f aca="false">B30/$B$54</f>
        <v>0.0348486263989379</v>
      </c>
      <c r="D30" s="17" t="n">
        <f aca="false">SUMIF('Holdings by Account'!$E$5:$E$84,$A30,'Holdings by Account'!$P$5:$P$84)</f>
        <v>43690.75</v>
      </c>
      <c r="E30" s="8" t="n">
        <f aca="false">D30/$D$54</f>
        <v>0.0337045597876265</v>
      </c>
      <c r="F30" s="8" t="n">
        <f aca="false">E30-C30</f>
        <v>-0.00114406661131135</v>
      </c>
    </row>
    <row r="31" customFormat="false" ht="15" hidden="false" customHeight="false" outlineLevel="0" collapsed="false">
      <c r="A31" s="4" t="s">
        <v>107</v>
      </c>
      <c r="B31" s="17" t="n">
        <f aca="false">SUMIF('Holdings by Account'!$E$5:$E$84,$A31,'Holdings by Account'!$K$5:$K$84)</f>
        <v>32438.69</v>
      </c>
      <c r="C31" s="8" t="n">
        <f aca="false">B31/$B$54</f>
        <v>0.0268140986950446</v>
      </c>
      <c r="D31" s="17" t="n">
        <f aca="false">SUMIF('Holdings by Account'!$E$5:$E$84,$A31,'Holdings by Account'!$P$5:$P$84)</f>
        <v>38026.02</v>
      </c>
      <c r="E31" s="8" t="n">
        <f aca="false">D31/$D$54</f>
        <v>0.0293345906072906</v>
      </c>
      <c r="F31" s="8" t="n">
        <f aca="false">E31-C31</f>
        <v>0.00252049191224593</v>
      </c>
    </row>
    <row r="32" customFormat="false" ht="15" hidden="false" customHeight="false" outlineLevel="0" collapsed="false">
      <c r="A32" s="4" t="s">
        <v>204</v>
      </c>
      <c r="B32" s="17" t="n">
        <f aca="false">SUMIF('Holdings by Account'!$E$5:$E$84,$A32,'Holdings by Account'!$K$5:$K$84)</f>
        <v>37893.91</v>
      </c>
      <c r="C32" s="8" t="n">
        <f aca="false">B32/$B$54</f>
        <v>0.0313234302211692</v>
      </c>
      <c r="D32" s="17" t="n">
        <f aca="false">SUMIF('Holdings by Account'!$E$5:$E$84,$A32,'Holdings by Account'!$P$5:$P$84)</f>
        <v>37219.42</v>
      </c>
      <c r="E32" s="8" t="n">
        <f aca="false">D32/$D$54</f>
        <v>0.0287123513936195</v>
      </c>
      <c r="F32" s="8" t="n">
        <f aca="false">E32-C32</f>
        <v>-0.0026110788275497</v>
      </c>
    </row>
    <row r="33" customFormat="false" ht="15" hidden="false" customHeight="false" outlineLevel="0" collapsed="false">
      <c r="A33" s="4" t="s">
        <v>133</v>
      </c>
      <c r="B33" s="17" t="n">
        <f aca="false">SUMIF('Holdings by Account'!$E$5:$E$84,$A33,'Holdings by Account'!$K$5:$K$84)</f>
        <v>31134.84</v>
      </c>
      <c r="C33" s="8" t="n">
        <f aca="false">B33/$B$54</f>
        <v>0.0257363251294804</v>
      </c>
      <c r="D33" s="17" t="n">
        <f aca="false">SUMIF('Holdings by Account'!$E$5:$E$84,$A33,'Holdings by Account'!$P$5:$P$84)</f>
        <v>37164.94</v>
      </c>
      <c r="E33" s="8" t="n">
        <f aca="false">D33/$D$54</f>
        <v>0.0286703236322002</v>
      </c>
      <c r="F33" s="8" t="n">
        <f aca="false">E33-C33</f>
        <v>0.00293399850271983</v>
      </c>
    </row>
    <row r="34" customFormat="false" ht="15" hidden="false" customHeight="false" outlineLevel="0" collapsed="false">
      <c r="A34" s="4" t="s">
        <v>189</v>
      </c>
      <c r="B34" s="17" t="n">
        <f aca="false">SUMIF('Holdings by Account'!$E$5:$E$84,$A34,'Holdings by Account'!$K$5:$K$84)</f>
        <v>0</v>
      </c>
      <c r="C34" s="8" t="n">
        <f aca="false">B34/$B$54</f>
        <v>0</v>
      </c>
      <c r="D34" s="17" t="n">
        <f aca="false">SUMIF('Holdings by Account'!$E$5:$E$84,$A34,'Holdings by Account'!$P$5:$P$84)</f>
        <v>35362.8</v>
      </c>
      <c r="E34" s="8" t="n">
        <f aca="false">D34/$D$54</f>
        <v>0.0272800903362354</v>
      </c>
      <c r="F34" s="8" t="n">
        <f aca="false">E34-C34</f>
        <v>0.0272800903362354</v>
      </c>
    </row>
    <row r="35" customFormat="false" ht="15" hidden="false" customHeight="false" outlineLevel="0" collapsed="false">
      <c r="A35" s="4" t="s">
        <v>142</v>
      </c>
      <c r="B35" s="17" t="n">
        <f aca="false">SUMIF('Holdings by Account'!$E$5:$E$84,$A35,'Holdings by Account'!$K$5:$K$84)</f>
        <v>31356.93</v>
      </c>
      <c r="C35" s="8" t="n">
        <f aca="false">B35/$B$54</f>
        <v>0.0259199066236524</v>
      </c>
      <c r="D35" s="17" t="n">
        <f aca="false">SUMIF('Holdings by Account'!$E$5:$E$84,$A35,'Holdings by Account'!$P$5:$P$84)</f>
        <v>34577.65</v>
      </c>
      <c r="E35" s="8" t="n">
        <f aca="false">D35/$D$54</f>
        <v>0.0266743983964712</v>
      </c>
      <c r="F35" s="8" t="n">
        <f aca="false">E35-C35</f>
        <v>0.000754491772818805</v>
      </c>
    </row>
    <row r="36" customFormat="false" ht="15" hidden="false" customHeight="false" outlineLevel="0" collapsed="false">
      <c r="A36" s="4" t="s">
        <v>193</v>
      </c>
      <c r="B36" s="17" t="n">
        <f aca="false">SUMIF('Holdings by Account'!$E$5:$E$84,$A36,'Holdings by Account'!$K$5:$K$84)</f>
        <v>31434</v>
      </c>
      <c r="C36" s="8" t="n">
        <f aca="false">B36/$B$54</f>
        <v>0.0259836133450529</v>
      </c>
      <c r="D36" s="17" t="n">
        <f aca="false">SUMIF('Holdings by Account'!$E$5:$E$84,$A36,'Holdings by Account'!$P$5:$P$84)</f>
        <v>32301</v>
      </c>
      <c r="E36" s="8" t="n">
        <f aca="false">D36/$D$54</f>
        <v>0.0249181116300389</v>
      </c>
      <c r="F36" s="8" t="n">
        <f aca="false">E36-C36</f>
        <v>-0.00106550171501395</v>
      </c>
    </row>
    <row r="37" customFormat="false" ht="15" hidden="false" customHeight="false" outlineLevel="0" collapsed="false">
      <c r="A37" s="4" t="s">
        <v>157</v>
      </c>
      <c r="B37" s="17" t="n">
        <f aca="false">SUMIF('Holdings by Account'!$E$5:$E$84,$A37,'Holdings by Account'!$K$5:$K$84)</f>
        <v>25785.73</v>
      </c>
      <c r="C37" s="8" t="n">
        <f aca="false">B37/$B$54</f>
        <v>0.0213147050372186</v>
      </c>
      <c r="D37" s="17" t="n">
        <f aca="false">SUMIF('Holdings by Account'!$E$5:$E$84,$A37,'Holdings by Account'!$P$5:$P$84)</f>
        <v>30046.24</v>
      </c>
      <c r="E37" s="8" t="n">
        <f aca="false">D37/$D$54</f>
        <v>0.0231787115687731</v>
      </c>
      <c r="F37" s="8" t="n">
        <f aca="false">E37-C37</f>
        <v>0.0018640065315545</v>
      </c>
    </row>
    <row r="38" customFormat="false" ht="15" hidden="false" customHeight="false" outlineLevel="0" collapsed="false">
      <c r="A38" s="4" t="s">
        <v>111</v>
      </c>
      <c r="B38" s="17" t="n">
        <f aca="false">SUMIF('Holdings by Account'!$E$5:$E$84,$A38,'Holdings by Account'!$K$5:$K$84)</f>
        <v>25446.93</v>
      </c>
      <c r="C38" s="8" t="n">
        <f aca="false">B38/$B$54</f>
        <v>0.0210346500584916</v>
      </c>
      <c r="D38" s="17" t="n">
        <f aca="false">SUMIF('Holdings by Account'!$E$5:$E$84,$A38,'Holdings by Account'!$P$5:$P$84)</f>
        <v>27918.21</v>
      </c>
      <c r="E38" s="8" t="n">
        <f aca="false">D38/$D$54</f>
        <v>0.0215370754246268</v>
      </c>
      <c r="F38" s="8" t="n">
        <f aca="false">E38-C38</f>
        <v>0.000502425366135123</v>
      </c>
    </row>
    <row r="39" customFormat="false" ht="15" hidden="false" customHeight="false" outlineLevel="0" collapsed="false">
      <c r="A39" s="4" t="s">
        <v>119</v>
      </c>
      <c r="B39" s="17" t="n">
        <f aca="false">SUMIF('Holdings by Account'!$E$5:$E$84,$A39,'Holdings by Account'!$K$5:$K$84)</f>
        <v>0</v>
      </c>
      <c r="C39" s="8" t="n">
        <f aca="false">B39/$B$54</f>
        <v>0</v>
      </c>
      <c r="D39" s="17" t="n">
        <f aca="false">SUMIF('Holdings by Account'!$E$5:$E$84,$A39,'Holdings by Account'!$P$5:$P$84)</f>
        <v>25063.89</v>
      </c>
      <c r="E39" s="8" t="n">
        <f aca="false">D39/$D$54</f>
        <v>0.0193351539860381</v>
      </c>
      <c r="F39" s="8" t="n">
        <f aca="false">E39-C39</f>
        <v>0.0193351539860381</v>
      </c>
    </row>
    <row r="40" customFormat="false" ht="15" hidden="false" customHeight="false" outlineLevel="0" collapsed="false">
      <c r="A40" s="4" t="s">
        <v>160</v>
      </c>
      <c r="B40" s="17" t="n">
        <f aca="false">SUMIF('Holdings by Account'!$E$5:$E$84,$A40,'Holdings by Account'!$K$5:$K$84)</f>
        <v>18025.26</v>
      </c>
      <c r="C40" s="8" t="n">
        <f aca="false">B40/$B$54</f>
        <v>0.0148998341376868</v>
      </c>
      <c r="D40" s="17" t="n">
        <f aca="false">SUMIF('Holdings by Account'!$E$5:$E$84,$A40,'Holdings by Account'!$P$5:$P$84)</f>
        <v>24067.42</v>
      </c>
      <c r="E40" s="8" t="n">
        <f aca="false">D40/$D$54</f>
        <v>0.0185664424694911</v>
      </c>
      <c r="F40" s="8" t="n">
        <f aca="false">E40-C40</f>
        <v>0.00366660833180425</v>
      </c>
    </row>
    <row r="41" customFormat="false" ht="15" hidden="false" customHeight="false" outlineLevel="0" collapsed="false">
      <c r="A41" s="4" t="s">
        <v>83</v>
      </c>
      <c r="B41" s="17" t="n">
        <f aca="false">SUMIF('Holdings by Account'!$E$5:$E$84,$A41,'Holdings by Account'!$K$5:$K$84)</f>
        <v>10700.49</v>
      </c>
      <c r="C41" s="8" t="n">
        <f aca="false">B41/$B$54</f>
        <v>0.00884511658594531</v>
      </c>
      <c r="D41" s="17" t="n">
        <f aca="false">SUMIF('Holdings by Account'!$E$5:$E$84,$A41,'Holdings by Account'!$P$5:$P$84)</f>
        <v>23968.6</v>
      </c>
      <c r="E41" s="8" t="n">
        <f aca="false">D41/$D$54</f>
        <v>0.0184902092943176</v>
      </c>
      <c r="F41" s="8" t="n">
        <f aca="false">E41-C41</f>
        <v>0.00964509270837224</v>
      </c>
    </row>
    <row r="42" customFormat="false" ht="15" hidden="false" customHeight="false" outlineLevel="0" collapsed="false">
      <c r="A42" s="4" t="s">
        <v>128</v>
      </c>
      <c r="B42" s="17" t="n">
        <f aca="false">SUMIF('Holdings by Account'!$E$5:$E$84,$A42,'Holdings by Account'!$K$5:$K$84)</f>
        <v>13551.55</v>
      </c>
      <c r="C42" s="8" t="n">
        <f aca="false">B42/$B$54</f>
        <v>0.0112018271752291</v>
      </c>
      <c r="D42" s="17" t="n">
        <f aca="false">SUMIF('Holdings by Account'!$E$5:$E$84,$A42,'Holdings by Account'!$P$5:$P$84)</f>
        <v>21555.27</v>
      </c>
      <c r="E42" s="8" t="n">
        <f aca="false">D42/$D$54</f>
        <v>0.0166284828356902</v>
      </c>
      <c r="F42" s="8" t="n">
        <f aca="false">E42-C42</f>
        <v>0.00542665566046111</v>
      </c>
    </row>
    <row r="43" customFormat="false" ht="15" hidden="false" customHeight="false" outlineLevel="0" collapsed="false">
      <c r="A43" s="4" t="s">
        <v>178</v>
      </c>
      <c r="B43" s="17" t="n">
        <f aca="false">SUMIF('Holdings by Account'!$E$5:$E$84,$A43,'Holdings by Account'!$K$5:$K$84)</f>
        <v>16638.91</v>
      </c>
      <c r="C43" s="8" t="n">
        <f aca="false">B43/$B$54</f>
        <v>0.0137538653662637</v>
      </c>
      <c r="D43" s="17" t="n">
        <f aca="false">SUMIF('Holdings by Account'!$E$5:$E$84,$A43,'Holdings by Account'!$P$5:$P$84)</f>
        <v>18353.43</v>
      </c>
      <c r="E43" s="8" t="n">
        <f aca="false">D43/$D$54</f>
        <v>0.0141584724167705</v>
      </c>
      <c r="F43" s="8" t="n">
        <f aca="false">E43-C43</f>
        <v>0.000404607050506827</v>
      </c>
    </row>
    <row r="44" customFormat="false" ht="15" hidden="false" customHeight="false" outlineLevel="0" collapsed="false">
      <c r="A44" s="4" t="s">
        <v>136</v>
      </c>
      <c r="B44" s="17" t="n">
        <f aca="false">SUMIF('Holdings by Account'!$E$5:$E$84,$A44,'Holdings by Account'!$K$5:$K$84)</f>
        <v>14194.44</v>
      </c>
      <c r="C44" s="8" t="n">
        <f aca="false">B44/$B$54</f>
        <v>0.011733245549709</v>
      </c>
      <c r="D44" s="17" t="n">
        <f aca="false">SUMIF('Holdings by Account'!$E$5:$E$84,$A44,'Holdings by Account'!$P$5:$P$84)</f>
        <v>14995.38</v>
      </c>
      <c r="E44" s="8" t="n">
        <f aca="false">D44/$D$54</f>
        <v>0.0115679561863364</v>
      </c>
      <c r="F44" s="8" t="n">
        <f aca="false">E44-C44</f>
        <v>-0.000165289363372553</v>
      </c>
    </row>
    <row r="45" customFormat="false" ht="15" hidden="false" customHeight="false" outlineLevel="0" collapsed="false">
      <c r="A45" s="4" t="s">
        <v>139</v>
      </c>
      <c r="B45" s="17" t="n">
        <f aca="false">SUMIF('Holdings by Account'!$E$5:$E$84,$A45,'Holdings by Account'!$K$5:$K$84)</f>
        <v>12942.93</v>
      </c>
      <c r="C45" s="8" t="n">
        <f aca="false">B45/$B$54</f>
        <v>0.0106987366759587</v>
      </c>
      <c r="D45" s="17" t="n">
        <f aca="false">SUMIF('Holdings by Account'!$E$5:$E$84,$A45,'Holdings by Account'!$P$5:$P$84)</f>
        <v>13162.79</v>
      </c>
      <c r="E45" s="8" t="n">
        <f aca="false">D45/$D$54</f>
        <v>0.0101542327043361</v>
      </c>
      <c r="F45" s="8" t="n">
        <f aca="false">E45-C45</f>
        <v>-0.000544503971622588</v>
      </c>
    </row>
    <row r="46" customFormat="false" ht="15" hidden="false" customHeight="false" outlineLevel="0" collapsed="false">
      <c r="A46" s="4" t="s">
        <v>213</v>
      </c>
      <c r="B46" s="17" t="n">
        <f aca="false">SUMIF('Holdings by Account'!$E$5:$E$84,$A46,'Holdings by Account'!$K$5:$K$84)</f>
        <v>12423.44</v>
      </c>
      <c r="C46" s="8" t="n">
        <f aca="false">B46/$B$54</f>
        <v>0.0102693217972725</v>
      </c>
      <c r="D46" s="17" t="n">
        <f aca="false">SUMIF('Holdings by Account'!$E$5:$E$84,$A46,'Holdings by Account'!$P$5:$P$84)</f>
        <v>12869.11</v>
      </c>
      <c r="E46" s="8" t="n">
        <f aca="false">D46/$D$54</f>
        <v>0.00992767776722858</v>
      </c>
      <c r="F46" s="8" t="n">
        <f aca="false">E46-C46</f>
        <v>-0.000341644030043917</v>
      </c>
    </row>
    <row r="47" customFormat="false" ht="15" hidden="false" customHeight="false" outlineLevel="0" collapsed="false">
      <c r="A47" s="4" t="s">
        <v>218</v>
      </c>
      <c r="B47" s="17" t="n">
        <f aca="false">SUMIF('Holdings by Account'!$E$5:$E$84,$A47,'Holdings by Account'!$K$5:$K$84)</f>
        <v>9204.4</v>
      </c>
      <c r="C47" s="8" t="n">
        <f aca="false">B47/$B$54</f>
        <v>0.0076084357916016</v>
      </c>
      <c r="D47" s="17" t="n">
        <f aca="false">SUMIF('Holdings by Account'!$E$5:$E$84,$A47,'Holdings by Account'!$P$5:$P$84)</f>
        <v>11128.6</v>
      </c>
      <c r="E47" s="8" t="n">
        <f aca="false">D47/$D$54</f>
        <v>0.00858498799065203</v>
      </c>
      <c r="F47" s="8" t="n">
        <f aca="false">E47-C47</f>
        <v>0.000976552199050431</v>
      </c>
    </row>
    <row r="48" customFormat="false" ht="15" hidden="false" customHeight="false" outlineLevel="0" collapsed="false">
      <c r="A48" s="4" t="s">
        <v>87</v>
      </c>
      <c r="B48" s="17" t="n">
        <f aca="false">SUMIF('Holdings by Account'!$E$5:$E$84,$A48,'Holdings by Account'!$K$5:$K$84)</f>
        <v>10050.25</v>
      </c>
      <c r="C48" s="8" t="n">
        <f aca="false">B48/$B$54</f>
        <v>0.00830762263857981</v>
      </c>
      <c r="D48" s="17" t="n">
        <f aca="false">SUMIF('Holdings by Account'!$E$5:$E$84,$A48,'Holdings by Account'!$P$5:$P$84)</f>
        <v>10118.7</v>
      </c>
      <c r="E48" s="8" t="n">
        <f aca="false">D48/$D$54</f>
        <v>0.00780591610633959</v>
      </c>
      <c r="F48" s="8" t="n">
        <f aca="false">E48-C48</f>
        <v>-0.000501706532240223</v>
      </c>
    </row>
    <row r="49" customFormat="false" ht="15" hidden="false" customHeight="false" outlineLevel="0" collapsed="false">
      <c r="A49" s="4" t="s">
        <v>150</v>
      </c>
      <c r="B49" s="17" t="n">
        <f aca="false">SUMIF('Holdings by Account'!$E$5:$E$84,$A49,'Holdings by Account'!$K$5:$K$84)</f>
        <v>0</v>
      </c>
      <c r="C49" s="8" t="n">
        <f aca="false">B49/$B$54</f>
        <v>0</v>
      </c>
      <c r="D49" s="17" t="n">
        <f aca="false">SUMIF('Holdings by Account'!$E$5:$E$84,$A49,'Holdings by Account'!$P$5:$P$84)</f>
        <v>10113.19</v>
      </c>
      <c r="E49" s="8" t="n">
        <f aca="false">D49/$D$54</f>
        <v>0.00780166550124744</v>
      </c>
      <c r="F49" s="8" t="n">
        <f aca="false">E49-C49</f>
        <v>0.00780166550124744</v>
      </c>
    </row>
    <row r="50" customFormat="false" ht="15" hidden="false" customHeight="false" outlineLevel="0" collapsed="false">
      <c r="A50" s="4" t="s">
        <v>91</v>
      </c>
      <c r="B50" s="17" t="n">
        <f aca="false">SUMIF('Holdings by Account'!$E$5:$E$84,$A50,'Holdings by Account'!$K$5:$K$84)</f>
        <v>37316.92</v>
      </c>
      <c r="C50" s="8" t="n">
        <f aca="false">B50/$B$54</f>
        <v>0.0308464853505208</v>
      </c>
      <c r="D50" s="17" t="n">
        <f aca="false">SUMIF('Holdings by Account'!$E$5:$E$84,$A50,'Holdings by Account'!$P$5:$P$84)</f>
        <v>8269.94</v>
      </c>
      <c r="E50" s="8" t="n">
        <f aca="false">D50/$D$54</f>
        <v>0.00637971852554795</v>
      </c>
      <c r="F50" s="8" t="n">
        <f aca="false">E50-C50</f>
        <v>-0.0244667668249729</v>
      </c>
    </row>
    <row r="51" customFormat="false" ht="15" hidden="false" customHeight="false" outlineLevel="0" collapsed="false">
      <c r="A51" s="4" t="s">
        <v>94</v>
      </c>
      <c r="B51" s="17" t="n">
        <f aca="false">SUMIF('Holdings by Account'!$E$5:$E$84,$A51,'Holdings by Account'!$K$5:$K$84)</f>
        <v>106058.27</v>
      </c>
      <c r="C51" s="8" t="n">
        <f aca="false">B51/$B$54</f>
        <v>0.0876686734022148</v>
      </c>
      <c r="D51" s="17" t="n">
        <f aca="false">SUMIF('Holdings by Account'!$E$5:$E$84,$A51,'Holdings by Account'!$P$5:$P$84)</f>
        <v>0</v>
      </c>
      <c r="E51" s="8" t="n">
        <f aca="false">D51/$D$54</f>
        <v>0</v>
      </c>
      <c r="F51" s="8" t="n">
        <f aca="false">E51-C51</f>
        <v>-0.0876686734022148</v>
      </c>
    </row>
    <row r="52" customFormat="false" ht="15" hidden="false" customHeight="false" outlineLevel="0" collapsed="false">
      <c r="A52" s="4" t="s">
        <v>185</v>
      </c>
      <c r="B52" s="17" t="n">
        <f aca="false">SUMIF('Holdings by Account'!$E$5:$E$84,$A52,'Holdings by Account'!$K$5:$K$84)</f>
        <v>24805.07</v>
      </c>
      <c r="C52" s="8" t="n">
        <f aca="false">B52/$B$54</f>
        <v>0.0205040830908243</v>
      </c>
      <c r="D52" s="17" t="n">
        <f aca="false">SUMIF('Holdings by Account'!$E$5:$E$84,$A52,'Holdings by Account'!$P$5:$P$84)</f>
        <v>0</v>
      </c>
      <c r="E52" s="8" t="n">
        <f aca="false">D52/$D$54</f>
        <v>0</v>
      </c>
      <c r="F52" s="8" t="n">
        <f aca="false">E52-C52</f>
        <v>-0.0205040830908243</v>
      </c>
    </row>
    <row r="53" customFormat="false" ht="15" hidden="false" customHeight="false" outlineLevel="0" collapsed="false">
      <c r="A53" s="4" t="s">
        <v>197</v>
      </c>
      <c r="B53" s="17" t="n">
        <f aca="false">SUMIF('Holdings by Account'!$E$5:$E$84,$A53,'Holdings by Account'!$K$5:$K$84)</f>
        <v>32222.4</v>
      </c>
      <c r="C53" s="8" t="n">
        <f aca="false">B53/$B$54</f>
        <v>0.0266353115304967</v>
      </c>
      <c r="D53" s="17" t="n">
        <f aca="false">SUMIF('Holdings by Account'!$E$5:$E$84,$A53,'Holdings by Account'!$P$5:$P$84)</f>
        <v>0</v>
      </c>
      <c r="E53" s="8" t="n">
        <f aca="false">D53/$D$54</f>
        <v>0</v>
      </c>
      <c r="F53" s="8" t="n">
        <f aca="false">E53-C53</f>
        <v>-0.0266353115304967</v>
      </c>
    </row>
    <row r="54" customFormat="false" ht="15" hidden="false" customHeight="false" outlineLevel="0" collapsed="false">
      <c r="A54" s="9" t="s">
        <v>267</v>
      </c>
      <c r="B54" s="11" t="n">
        <f aca="false">SUM(B22:B53)</f>
        <v>1209762.46</v>
      </c>
      <c r="C54" s="12" t="n">
        <f aca="false">SUM(C22:C53)</f>
        <v>1</v>
      </c>
      <c r="D54" s="11" t="n">
        <f aca="false">SUM(D22:D53)</f>
        <v>1296286.03</v>
      </c>
      <c r="E54" s="12" t="n">
        <f aca="false">SUM(E22:E53)</f>
        <v>1</v>
      </c>
      <c r="F54" s="16"/>
    </row>
    <row r="56" customFormat="false" ht="15" hidden="false" customHeight="false" outlineLevel="0" collapsed="false">
      <c r="A56" s="13" t="s">
        <v>270</v>
      </c>
    </row>
    <row r="57" customFormat="false" ht="30" hidden="false" customHeight="true" outlineLevel="0" collapsed="false">
      <c r="A57" s="3" t="s">
        <v>263</v>
      </c>
      <c r="B57" s="3" t="s">
        <v>48</v>
      </c>
      <c r="C57" s="3" t="s">
        <v>264</v>
      </c>
      <c r="D57" s="3" t="s">
        <v>53</v>
      </c>
      <c r="E57" s="3" t="s">
        <v>265</v>
      </c>
      <c r="F57" s="3" t="s">
        <v>266</v>
      </c>
    </row>
    <row r="58" customFormat="false" ht="15" hidden="false" customHeight="false" outlineLevel="0" collapsed="false">
      <c r="A58" s="4" t="s">
        <v>60</v>
      </c>
      <c r="B58" s="17" t="n">
        <f aca="false">SUMIF('Holdings by Account'!$A$5:$A$84,$A58,'Holdings by Account'!$K$5:$K$84)</f>
        <v>182271.18</v>
      </c>
      <c r="C58" s="8" t="n">
        <f aca="false">B58/$B$62</f>
        <v>0.150666916875566</v>
      </c>
      <c r="D58" s="17" t="n">
        <f aca="false">SUMIF('Holdings by Account'!$A$5:$A$84,$A58,'Holdings by Account'!$P$5:$P$84)</f>
        <v>209759.01</v>
      </c>
      <c r="E58" s="8" t="n">
        <f aca="false">D58/$D$62</f>
        <v>0.161815374960108</v>
      </c>
      <c r="F58" s="8" t="n">
        <f aca="false">E58-C58</f>
        <v>0.0111484580845423</v>
      </c>
    </row>
    <row r="59" customFormat="false" ht="15" hidden="false" customHeight="false" outlineLevel="0" collapsed="false">
      <c r="A59" s="4" t="s">
        <v>96</v>
      </c>
      <c r="B59" s="17" t="n">
        <f aca="false">SUMIF('Holdings by Account'!$A$5:$A$84,$A59,'Holdings by Account'!$K$5:$K$84)</f>
        <v>599087.59</v>
      </c>
      <c r="C59" s="8" t="n">
        <f aca="false">B59/$B$62</f>
        <v>0.4952109276064</v>
      </c>
      <c r="D59" s="17" t="n">
        <f aca="false">SUMIF('Holdings by Account'!$A$5:$A$84,$A59,'Holdings by Account'!$P$5:$P$84)</f>
        <v>691889.12</v>
      </c>
      <c r="E59" s="8" t="n">
        <f aca="false">D59/$D$62</f>
        <v>0.533747262554392</v>
      </c>
      <c r="F59" s="8" t="n">
        <f aca="false">E59-C59</f>
        <v>0.038536334947992</v>
      </c>
    </row>
    <row r="60" customFormat="false" ht="15" hidden="false" customHeight="false" outlineLevel="0" collapsed="false">
      <c r="A60" s="4" t="s">
        <v>186</v>
      </c>
      <c r="B60" s="17" t="n">
        <f aca="false">SUMIF('Holdings by Account'!$A$5:$A$84,$A60,'Holdings by Account'!$K$5:$K$84)</f>
        <v>97804.22</v>
      </c>
      <c r="C60" s="8" t="n">
        <f aca="false">B60/$B$62</f>
        <v>0.0808458050516793</v>
      </c>
      <c r="D60" s="17" t="n">
        <f aca="false">SUMIF('Holdings by Account'!$A$5:$A$84,$A60,'Holdings by Account'!$P$5:$P$84)</f>
        <v>69313.07</v>
      </c>
      <c r="E60" s="8" t="n">
        <f aca="false">D60/$D$62</f>
        <v>0.0534705060425591</v>
      </c>
      <c r="F60" s="8" t="n">
        <f aca="false">E60-C60</f>
        <v>-0.0273752990091202</v>
      </c>
    </row>
    <row r="61" customFormat="false" ht="15" hidden="false" customHeight="false" outlineLevel="0" collapsed="false">
      <c r="A61" s="4" t="s">
        <v>198</v>
      </c>
      <c r="B61" s="17" t="n">
        <f aca="false">SUMIF('Holdings by Account'!$A$5:$A$84,$A61,'Holdings by Account'!$K$5:$K$84)</f>
        <v>330599.47</v>
      </c>
      <c r="C61" s="8" t="n">
        <f aca="false">B61/$B$62</f>
        <v>0.273276350466355</v>
      </c>
      <c r="D61" s="17" t="n">
        <f aca="false">SUMIF('Holdings by Account'!$A$5:$A$84,$A61,'Holdings by Account'!$P$5:$P$84)</f>
        <v>325324.83</v>
      </c>
      <c r="E61" s="8" t="n">
        <f aca="false">D61/$D$62</f>
        <v>0.250966856442941</v>
      </c>
      <c r="F61" s="8" t="n">
        <f aca="false">E61-C61</f>
        <v>-0.0223094940234141</v>
      </c>
    </row>
    <row r="62" customFormat="false" ht="15" hidden="false" customHeight="false" outlineLevel="0" collapsed="false">
      <c r="A62" s="9" t="s">
        <v>267</v>
      </c>
      <c r="B62" s="11" t="n">
        <f aca="false">SUM(B58:B61)</f>
        <v>1209762.46</v>
      </c>
      <c r="C62" s="12" t="n">
        <f aca="false">SUM(C58:C61)</f>
        <v>1</v>
      </c>
      <c r="D62" s="11" t="n">
        <f aca="false">SUM(D58:D61)</f>
        <v>1296286.03</v>
      </c>
      <c r="E62" s="12" t="n">
        <f aca="false">SUM(E58:E61)</f>
        <v>1</v>
      </c>
      <c r="F62" s="16"/>
    </row>
    <row r="64" customFormat="false" ht="15" hidden="false" customHeight="false" outlineLevel="0" collapsed="false">
      <c r="A64" s="13" t="s">
        <v>271</v>
      </c>
    </row>
    <row r="65" customFormat="false" ht="15" hidden="false" customHeight="false" outlineLevel="0" collapsed="false">
      <c r="A65" s="4" t="s">
        <v>272</v>
      </c>
      <c r="B65" s="18" t="n">
        <v>0.572774050492545</v>
      </c>
    </row>
    <row r="66" customFormat="false" ht="15" hidden="false" customHeight="false" outlineLevel="0" collapsed="false">
      <c r="A66" s="4" t="s">
        <v>273</v>
      </c>
      <c r="B66" s="18" t="n">
        <v>0.386269139998369</v>
      </c>
    </row>
    <row r="67" customFormat="false" ht="15" hidden="false" customHeight="false" outlineLevel="0" collapsed="false">
      <c r="A67" s="4" t="s">
        <v>274</v>
      </c>
      <c r="B67" s="19" t="n">
        <v>0.0460340036867399</v>
      </c>
    </row>
    <row r="68" customFormat="false" ht="15" hidden="false" customHeight="false" outlineLevel="0" collapsed="false">
      <c r="A68" s="4" t="s">
        <v>275</v>
      </c>
      <c r="B68" s="20" t="n">
        <v>21.7230725097251</v>
      </c>
    </row>
    <row r="69" customFormat="false" ht="15" hidden="false" customHeight="false" outlineLevel="0" collapsed="false">
      <c r="A69" s="4" t="s">
        <v>276</v>
      </c>
      <c r="B69" s="21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3"/>
  </cols>
  <sheetData>
    <row r="1" customFormat="false" ht="17.35" hidden="false" customHeight="false" outlineLevel="0" collapsed="false">
      <c r="A1" s="1" t="s">
        <v>277</v>
      </c>
    </row>
    <row r="3" customFormat="false" ht="30" hidden="false" customHeight="true" outlineLevel="0" collapsed="false">
      <c r="A3" s="3" t="s">
        <v>2</v>
      </c>
      <c r="B3" s="3" t="s">
        <v>278</v>
      </c>
      <c r="C3" s="3" t="s">
        <v>279</v>
      </c>
      <c r="D3" s="3" t="s">
        <v>40</v>
      </c>
      <c r="E3" s="3" t="s">
        <v>280</v>
      </c>
      <c r="F3" s="3" t="s">
        <v>281</v>
      </c>
      <c r="G3" s="3" t="s">
        <v>282</v>
      </c>
      <c r="H3" s="3" t="s">
        <v>283</v>
      </c>
      <c r="I3" s="3" t="s">
        <v>284</v>
      </c>
      <c r="J3" s="3" t="s">
        <v>285</v>
      </c>
    </row>
    <row r="4" customFormat="false" ht="15" hidden="false" customHeight="false" outlineLevel="0" collapsed="false">
      <c r="A4" s="4" t="s">
        <v>60</v>
      </c>
      <c r="B4" s="4" t="s">
        <v>286</v>
      </c>
      <c r="C4" s="4" t="s">
        <v>92</v>
      </c>
      <c r="D4" s="4" t="s">
        <v>93</v>
      </c>
      <c r="E4" s="14" t="n">
        <v>102.859</v>
      </c>
      <c r="F4" s="4" t="s">
        <v>287</v>
      </c>
      <c r="G4" s="6" t="n">
        <v>6967.67</v>
      </c>
      <c r="H4" s="4" t="s">
        <v>288</v>
      </c>
      <c r="I4" s="6" t="n">
        <v>10000</v>
      </c>
      <c r="J4" s="6" t="n">
        <v>3032.33</v>
      </c>
    </row>
    <row r="5" customFormat="false" ht="15" hidden="false" customHeight="false" outlineLevel="0" collapsed="false">
      <c r="A5" s="4" t="s">
        <v>60</v>
      </c>
      <c r="B5" s="4" t="s">
        <v>286</v>
      </c>
      <c r="C5" s="4" t="s">
        <v>72</v>
      </c>
      <c r="D5" s="4" t="s">
        <v>73</v>
      </c>
      <c r="E5" s="14" t="n">
        <v>128.205</v>
      </c>
      <c r="F5" s="4" t="s">
        <v>289</v>
      </c>
      <c r="G5" s="6" t="n">
        <v>547.44</v>
      </c>
      <c r="H5" s="4" t="s">
        <v>290</v>
      </c>
      <c r="I5" s="6" t="n">
        <v>500</v>
      </c>
      <c r="J5" s="6" t="n">
        <v>-47.44</v>
      </c>
    </row>
    <row r="6" customFormat="false" ht="15" hidden="false" customHeight="false" outlineLevel="0" collapsed="false">
      <c r="A6" s="4" t="s">
        <v>96</v>
      </c>
      <c r="B6" s="4" t="s">
        <v>286</v>
      </c>
      <c r="C6" s="4" t="s">
        <v>291</v>
      </c>
      <c r="D6" s="4" t="s">
        <v>292</v>
      </c>
      <c r="E6" s="14" t="n">
        <v>0.028</v>
      </c>
      <c r="F6" s="4" t="s">
        <v>293</v>
      </c>
      <c r="G6" s="6" t="n">
        <v>1.53</v>
      </c>
      <c r="H6" s="4" t="s">
        <v>294</v>
      </c>
      <c r="I6" s="6" t="n">
        <v>1.36</v>
      </c>
      <c r="J6" s="6" t="n">
        <v>-0.17</v>
      </c>
    </row>
    <row r="7" customFormat="false" ht="15" hidden="false" customHeight="false" outlineLevel="0" collapsed="false">
      <c r="A7" s="4" t="s">
        <v>96</v>
      </c>
      <c r="B7" s="4" t="s">
        <v>286</v>
      </c>
      <c r="C7" s="4" t="s">
        <v>291</v>
      </c>
      <c r="D7" s="4" t="s">
        <v>292</v>
      </c>
      <c r="E7" s="14" t="n">
        <v>0.031</v>
      </c>
      <c r="F7" s="4" t="s">
        <v>295</v>
      </c>
      <c r="G7" s="6" t="n">
        <v>1.54</v>
      </c>
      <c r="H7" s="4" t="s">
        <v>294</v>
      </c>
      <c r="I7" s="6" t="n">
        <v>1.48</v>
      </c>
      <c r="J7" s="6" t="n">
        <v>-0.06</v>
      </c>
    </row>
    <row r="8" customFormat="false" ht="15" hidden="false" customHeight="false" outlineLevel="0" collapsed="false">
      <c r="A8" s="4" t="s">
        <v>96</v>
      </c>
      <c r="B8" s="4" t="s">
        <v>286</v>
      </c>
      <c r="C8" s="4" t="s">
        <v>291</v>
      </c>
      <c r="D8" s="4" t="s">
        <v>292</v>
      </c>
      <c r="E8" s="14" t="n">
        <v>0.029</v>
      </c>
      <c r="F8" s="4" t="s">
        <v>296</v>
      </c>
      <c r="G8" s="6" t="n">
        <v>1.55</v>
      </c>
      <c r="H8" s="4" t="s">
        <v>294</v>
      </c>
      <c r="I8" s="6" t="n">
        <v>1.36</v>
      </c>
      <c r="J8" s="6" t="n">
        <v>-0.19</v>
      </c>
    </row>
    <row r="9" customFormat="false" ht="15" hidden="false" customHeight="false" outlineLevel="0" collapsed="false">
      <c r="A9" s="4" t="s">
        <v>96</v>
      </c>
      <c r="B9" s="4" t="s">
        <v>286</v>
      </c>
      <c r="C9" s="4" t="s">
        <v>291</v>
      </c>
      <c r="D9" s="4" t="s">
        <v>292</v>
      </c>
      <c r="E9" s="14" t="n">
        <v>0.031</v>
      </c>
      <c r="F9" s="4" t="s">
        <v>288</v>
      </c>
      <c r="G9" s="6" t="n">
        <v>1.55</v>
      </c>
      <c r="H9" s="4" t="s">
        <v>294</v>
      </c>
      <c r="I9" s="6" t="n">
        <v>1.45</v>
      </c>
      <c r="J9" s="6" t="n">
        <v>-0.1</v>
      </c>
    </row>
    <row r="10" customFormat="false" ht="15" hidden="false" customHeight="false" outlineLevel="0" collapsed="false">
      <c r="A10" s="4" t="s">
        <v>96</v>
      </c>
      <c r="B10" s="4" t="s">
        <v>286</v>
      </c>
      <c r="C10" s="4" t="s">
        <v>297</v>
      </c>
      <c r="D10" s="4" t="s">
        <v>298</v>
      </c>
      <c r="E10" s="14" t="n">
        <v>0.114</v>
      </c>
      <c r="F10" s="4" t="s">
        <v>299</v>
      </c>
      <c r="G10" s="6" t="n">
        <v>65.43</v>
      </c>
      <c r="H10" s="4" t="s">
        <v>288</v>
      </c>
      <c r="I10" s="6" t="n">
        <v>36.38</v>
      </c>
      <c r="J10" s="6" t="n">
        <v>-29.05</v>
      </c>
    </row>
    <row r="11" customFormat="false" ht="15" hidden="false" customHeight="false" outlineLevel="0" collapsed="false">
      <c r="A11" s="4" t="s">
        <v>96</v>
      </c>
      <c r="B11" s="4" t="s">
        <v>286</v>
      </c>
      <c r="C11" s="4" t="s">
        <v>297</v>
      </c>
      <c r="D11" s="4" t="s">
        <v>298</v>
      </c>
      <c r="E11" s="14" t="n">
        <v>0.135</v>
      </c>
      <c r="F11" s="4" t="s">
        <v>300</v>
      </c>
      <c r="G11" s="6" t="n">
        <v>65.67</v>
      </c>
      <c r="H11" s="4" t="s">
        <v>288</v>
      </c>
      <c r="I11" s="6" t="n">
        <v>42.88</v>
      </c>
      <c r="J11" s="6" t="n">
        <v>-22.79</v>
      </c>
    </row>
    <row r="12" customFormat="false" ht="15" hidden="false" customHeight="false" outlineLevel="0" collapsed="false">
      <c r="A12" s="4" t="s">
        <v>96</v>
      </c>
      <c r="B12" s="4" t="s">
        <v>286</v>
      </c>
      <c r="C12" s="4" t="s">
        <v>297</v>
      </c>
      <c r="D12" s="4" t="s">
        <v>298</v>
      </c>
      <c r="E12" s="14" t="n">
        <v>0.131</v>
      </c>
      <c r="F12" s="4" t="s">
        <v>301</v>
      </c>
      <c r="G12" s="6" t="n">
        <v>65.96</v>
      </c>
      <c r="H12" s="4" t="s">
        <v>288</v>
      </c>
      <c r="I12" s="6" t="n">
        <v>41.51</v>
      </c>
      <c r="J12" s="6" t="n">
        <v>-24.45</v>
      </c>
    </row>
    <row r="13" customFormat="false" ht="15" hidden="false" customHeight="false" outlineLevel="0" collapsed="false">
      <c r="A13" s="4" t="s">
        <v>96</v>
      </c>
      <c r="B13" s="4" t="s">
        <v>286</v>
      </c>
      <c r="C13" s="4" t="s">
        <v>297</v>
      </c>
      <c r="D13" s="4" t="s">
        <v>298</v>
      </c>
      <c r="E13" s="14" t="n">
        <v>0.229</v>
      </c>
      <c r="F13" s="4" t="s">
        <v>302</v>
      </c>
      <c r="G13" s="6" t="n">
        <v>69.7</v>
      </c>
      <c r="H13" s="4" t="s">
        <v>288</v>
      </c>
      <c r="I13" s="6" t="n">
        <v>72.86</v>
      </c>
      <c r="J13" s="6" t="n">
        <v>3.16</v>
      </c>
    </row>
    <row r="14" customFormat="false" ht="15" hidden="false" customHeight="false" outlineLevel="0" collapsed="false">
      <c r="A14" s="4" t="s">
        <v>96</v>
      </c>
      <c r="B14" s="4" t="s">
        <v>286</v>
      </c>
      <c r="C14" s="4" t="s">
        <v>291</v>
      </c>
      <c r="D14" s="4" t="s">
        <v>292</v>
      </c>
      <c r="E14" s="14" t="n">
        <v>0.946</v>
      </c>
      <c r="F14" s="4" t="s">
        <v>303</v>
      </c>
      <c r="G14" s="6" t="n">
        <v>47.97</v>
      </c>
      <c r="H14" s="4" t="s">
        <v>304</v>
      </c>
      <c r="I14" s="6" t="n">
        <v>42.18</v>
      </c>
      <c r="J14" s="6" t="n">
        <v>-5.79</v>
      </c>
    </row>
    <row r="15" customFormat="false" ht="15" hidden="false" customHeight="false" outlineLevel="0" collapsed="false">
      <c r="A15" s="4" t="s">
        <v>96</v>
      </c>
      <c r="B15" s="4" t="s">
        <v>286</v>
      </c>
      <c r="C15" s="4" t="s">
        <v>291</v>
      </c>
      <c r="D15" s="4" t="s">
        <v>292</v>
      </c>
      <c r="E15" s="14" t="n">
        <v>4.553</v>
      </c>
      <c r="F15" s="4" t="s">
        <v>303</v>
      </c>
      <c r="G15" s="6" t="n">
        <v>230.77</v>
      </c>
      <c r="H15" s="4" t="s">
        <v>294</v>
      </c>
      <c r="I15" s="6" t="n">
        <v>213.51</v>
      </c>
      <c r="J15" s="6" t="n">
        <v>-17.26</v>
      </c>
    </row>
    <row r="16" customFormat="false" ht="15" hidden="false" customHeight="false" outlineLevel="0" collapsed="false">
      <c r="A16" s="4" t="s">
        <v>96</v>
      </c>
      <c r="B16" s="4" t="s">
        <v>286</v>
      </c>
      <c r="C16" s="4" t="s">
        <v>291</v>
      </c>
      <c r="D16" s="4" t="s">
        <v>292</v>
      </c>
      <c r="E16" s="14" t="n">
        <v>0.029</v>
      </c>
      <c r="F16" s="4" t="s">
        <v>305</v>
      </c>
      <c r="G16" s="6" t="n">
        <v>1.25</v>
      </c>
      <c r="H16" s="4" t="s">
        <v>294</v>
      </c>
      <c r="I16" s="6" t="n">
        <v>1.36</v>
      </c>
      <c r="J16" s="6" t="n">
        <v>0.11</v>
      </c>
    </row>
    <row r="17" customFormat="false" ht="15" hidden="false" customHeight="false" outlineLevel="0" collapsed="false">
      <c r="A17" s="4" t="s">
        <v>96</v>
      </c>
      <c r="B17" s="4" t="s">
        <v>286</v>
      </c>
      <c r="C17" s="4" t="s">
        <v>291</v>
      </c>
      <c r="D17" s="4" t="s">
        <v>292</v>
      </c>
      <c r="E17" s="14" t="n">
        <v>0.027</v>
      </c>
      <c r="F17" s="4" t="s">
        <v>306</v>
      </c>
      <c r="G17" s="6" t="n">
        <v>1.26</v>
      </c>
      <c r="H17" s="4" t="s">
        <v>294</v>
      </c>
      <c r="I17" s="6" t="n">
        <v>1.3</v>
      </c>
      <c r="J17" s="6" t="n">
        <v>0.04</v>
      </c>
    </row>
    <row r="18" customFormat="false" ht="15" hidden="false" customHeight="false" outlineLevel="0" collapsed="false">
      <c r="A18" s="4" t="s">
        <v>96</v>
      </c>
      <c r="B18" s="4" t="s">
        <v>286</v>
      </c>
      <c r="C18" s="4" t="s">
        <v>291</v>
      </c>
      <c r="D18" s="4" t="s">
        <v>292</v>
      </c>
      <c r="E18" s="14" t="n">
        <v>0.028</v>
      </c>
      <c r="F18" s="4" t="s">
        <v>307</v>
      </c>
      <c r="G18" s="6" t="n">
        <v>1.27</v>
      </c>
      <c r="H18" s="4" t="s">
        <v>294</v>
      </c>
      <c r="I18" s="6" t="n">
        <v>1.34</v>
      </c>
      <c r="J18" s="6" t="n">
        <v>0.07</v>
      </c>
    </row>
    <row r="19" customFormat="false" ht="15" hidden="false" customHeight="false" outlineLevel="0" collapsed="false">
      <c r="A19" s="4" t="s">
        <v>96</v>
      </c>
      <c r="B19" s="4" t="s">
        <v>286</v>
      </c>
      <c r="C19" s="4" t="s">
        <v>291</v>
      </c>
      <c r="D19" s="4" t="s">
        <v>292</v>
      </c>
      <c r="E19" s="14" t="n">
        <v>0.026</v>
      </c>
      <c r="F19" s="4" t="s">
        <v>308</v>
      </c>
      <c r="G19" s="6" t="n">
        <v>1.34</v>
      </c>
      <c r="H19" s="4" t="s">
        <v>294</v>
      </c>
      <c r="I19" s="6" t="n">
        <v>1.25</v>
      </c>
      <c r="J19" s="6" t="n">
        <v>-0.09</v>
      </c>
    </row>
    <row r="20" customFormat="false" ht="15" hidden="false" customHeight="false" outlineLevel="0" collapsed="false">
      <c r="A20" s="4" t="s">
        <v>96</v>
      </c>
      <c r="B20" s="4" t="s">
        <v>286</v>
      </c>
      <c r="C20" s="4" t="s">
        <v>291</v>
      </c>
      <c r="D20" s="4" t="s">
        <v>292</v>
      </c>
      <c r="E20" s="14" t="n">
        <v>0.029</v>
      </c>
      <c r="F20" s="4" t="s">
        <v>309</v>
      </c>
      <c r="G20" s="6" t="n">
        <v>1.34</v>
      </c>
      <c r="H20" s="4" t="s">
        <v>294</v>
      </c>
      <c r="I20" s="6" t="n">
        <v>1.4</v>
      </c>
      <c r="J20" s="6" t="n">
        <v>0.06</v>
      </c>
    </row>
    <row r="21" customFormat="false" ht="15" hidden="false" customHeight="false" outlineLevel="0" collapsed="false">
      <c r="A21" s="4" t="s">
        <v>96</v>
      </c>
      <c r="B21" s="4" t="s">
        <v>286</v>
      </c>
      <c r="C21" s="4" t="s">
        <v>291</v>
      </c>
      <c r="D21" s="4" t="s">
        <v>292</v>
      </c>
      <c r="E21" s="14" t="n">
        <v>0.029</v>
      </c>
      <c r="F21" s="4" t="s">
        <v>310</v>
      </c>
      <c r="G21" s="6" t="n">
        <v>1.35</v>
      </c>
      <c r="H21" s="4" t="s">
        <v>294</v>
      </c>
      <c r="I21" s="6" t="n">
        <v>1.39</v>
      </c>
      <c r="J21" s="6" t="n">
        <v>0.04</v>
      </c>
    </row>
    <row r="22" customFormat="false" ht="15" hidden="false" customHeight="false" outlineLevel="0" collapsed="false">
      <c r="A22" s="4" t="s">
        <v>96</v>
      </c>
      <c r="B22" s="4" t="s">
        <v>286</v>
      </c>
      <c r="C22" s="4" t="s">
        <v>291</v>
      </c>
      <c r="D22" s="4" t="s">
        <v>292</v>
      </c>
      <c r="E22" s="14" t="n">
        <v>0.03</v>
      </c>
      <c r="F22" s="4" t="s">
        <v>311</v>
      </c>
      <c r="G22" s="6" t="n">
        <v>1.36</v>
      </c>
      <c r="H22" s="4" t="s">
        <v>294</v>
      </c>
      <c r="I22" s="6" t="n">
        <v>1.45</v>
      </c>
      <c r="J22" s="6" t="n">
        <v>0.09</v>
      </c>
    </row>
    <row r="23" customFormat="false" ht="15" hidden="false" customHeight="false" outlineLevel="0" collapsed="false">
      <c r="A23" s="4" t="s">
        <v>96</v>
      </c>
      <c r="B23" s="4" t="s">
        <v>286</v>
      </c>
      <c r="C23" s="4" t="s">
        <v>291</v>
      </c>
      <c r="D23" s="4" t="s">
        <v>292</v>
      </c>
      <c r="E23" s="14" t="n">
        <v>0.031</v>
      </c>
      <c r="F23" s="4" t="s">
        <v>312</v>
      </c>
      <c r="G23" s="6" t="n">
        <v>1.43</v>
      </c>
      <c r="H23" s="4" t="s">
        <v>294</v>
      </c>
      <c r="I23" s="6" t="n">
        <v>1.47</v>
      </c>
      <c r="J23" s="6" t="n">
        <v>0.04</v>
      </c>
    </row>
    <row r="24" customFormat="false" ht="15" hidden="false" customHeight="false" outlineLevel="0" collapsed="false">
      <c r="A24" s="4" t="s">
        <v>96</v>
      </c>
      <c r="B24" s="4" t="s">
        <v>286</v>
      </c>
      <c r="C24" s="4" t="s">
        <v>291</v>
      </c>
      <c r="D24" s="4" t="s">
        <v>292</v>
      </c>
      <c r="E24" s="14" t="n">
        <v>0.031</v>
      </c>
      <c r="F24" s="4" t="s">
        <v>313</v>
      </c>
      <c r="G24" s="6" t="n">
        <v>1.44</v>
      </c>
      <c r="H24" s="4" t="s">
        <v>294</v>
      </c>
      <c r="I24" s="6" t="n">
        <v>1.47</v>
      </c>
      <c r="J24" s="6" t="n">
        <v>0.03</v>
      </c>
    </row>
    <row r="25" customFormat="false" ht="15" hidden="false" customHeight="false" outlineLevel="0" collapsed="false">
      <c r="A25" s="4" t="s">
        <v>96</v>
      </c>
      <c r="B25" s="4" t="s">
        <v>286</v>
      </c>
      <c r="C25" s="4" t="s">
        <v>291</v>
      </c>
      <c r="D25" s="4" t="s">
        <v>292</v>
      </c>
      <c r="E25" s="14" t="n">
        <v>0.029</v>
      </c>
      <c r="F25" s="4" t="s">
        <v>314</v>
      </c>
      <c r="G25" s="6" t="n">
        <v>1.45</v>
      </c>
      <c r="H25" s="4" t="s">
        <v>294</v>
      </c>
      <c r="I25" s="6" t="n">
        <v>1.4</v>
      </c>
      <c r="J25" s="6" t="n">
        <v>-0.05</v>
      </c>
    </row>
    <row r="26" customFormat="false" ht="15" hidden="false" customHeight="false" outlineLevel="0" collapsed="false">
      <c r="A26" s="4" t="s">
        <v>96</v>
      </c>
      <c r="B26" s="4" t="s">
        <v>286</v>
      </c>
      <c r="C26" s="4" t="s">
        <v>291</v>
      </c>
      <c r="D26" s="4" t="s">
        <v>292</v>
      </c>
      <c r="E26" s="14" t="n">
        <v>0.031</v>
      </c>
      <c r="F26" s="4" t="s">
        <v>315</v>
      </c>
      <c r="G26" s="6" t="n">
        <v>1.45</v>
      </c>
      <c r="H26" s="4" t="s">
        <v>294</v>
      </c>
      <c r="I26" s="6" t="n">
        <v>1.46</v>
      </c>
      <c r="J26" s="6" t="n">
        <v>0.01</v>
      </c>
    </row>
    <row r="27" customFormat="false" ht="15" hidden="false" customHeight="false" outlineLevel="0" collapsed="false">
      <c r="A27" s="4" t="s">
        <v>96</v>
      </c>
      <c r="B27" s="4" t="s">
        <v>286</v>
      </c>
      <c r="C27" s="4" t="s">
        <v>297</v>
      </c>
      <c r="D27" s="4" t="s">
        <v>298</v>
      </c>
      <c r="E27" s="14" t="n">
        <v>25</v>
      </c>
      <c r="F27" s="4" t="s">
        <v>316</v>
      </c>
      <c r="G27" s="6" t="n">
        <v>7247.25</v>
      </c>
      <c r="H27" s="4" t="s">
        <v>288</v>
      </c>
      <c r="I27" s="6" t="n">
        <v>7922.37</v>
      </c>
      <c r="J27" s="6" t="n">
        <v>675.12</v>
      </c>
    </row>
    <row r="28" customFormat="false" ht="15" hidden="false" customHeight="false" outlineLevel="0" collapsed="false">
      <c r="A28" s="4" t="s">
        <v>96</v>
      </c>
      <c r="B28" s="4" t="s">
        <v>286</v>
      </c>
      <c r="C28" s="4" t="s">
        <v>297</v>
      </c>
      <c r="D28" s="4" t="s">
        <v>298</v>
      </c>
      <c r="E28" s="14" t="n">
        <v>0.086</v>
      </c>
      <c r="F28" s="4" t="s">
        <v>317</v>
      </c>
      <c r="G28" s="6" t="n">
        <v>36.25</v>
      </c>
      <c r="H28" s="4" t="s">
        <v>288</v>
      </c>
      <c r="I28" s="6" t="n">
        <v>27.47</v>
      </c>
      <c r="J28" s="6" t="n">
        <v>-8.78</v>
      </c>
    </row>
    <row r="29" customFormat="false" ht="15" hidden="false" customHeight="false" outlineLevel="0" collapsed="false">
      <c r="A29" s="4" t="s">
        <v>96</v>
      </c>
      <c r="B29" s="4" t="s">
        <v>286</v>
      </c>
      <c r="C29" s="4" t="s">
        <v>297</v>
      </c>
      <c r="D29" s="4" t="s">
        <v>298</v>
      </c>
      <c r="E29" s="14" t="n">
        <v>0.075</v>
      </c>
      <c r="F29" s="4" t="s">
        <v>318</v>
      </c>
      <c r="G29" s="6" t="n">
        <v>36.38</v>
      </c>
      <c r="H29" s="4" t="s">
        <v>288</v>
      </c>
      <c r="I29" s="6" t="n">
        <v>24.02</v>
      </c>
      <c r="J29" s="6" t="n">
        <v>-12.36</v>
      </c>
    </row>
    <row r="30" customFormat="false" ht="15" hidden="false" customHeight="false" outlineLevel="0" collapsed="false">
      <c r="A30" s="4" t="s">
        <v>96</v>
      </c>
      <c r="B30" s="4" t="s">
        <v>286</v>
      </c>
      <c r="C30" s="4" t="s">
        <v>297</v>
      </c>
      <c r="D30" s="4" t="s">
        <v>298</v>
      </c>
      <c r="E30" s="14" t="n">
        <v>0.071</v>
      </c>
      <c r="F30" s="4" t="s">
        <v>319</v>
      </c>
      <c r="G30" s="6" t="n">
        <v>36.49</v>
      </c>
      <c r="H30" s="4" t="s">
        <v>288</v>
      </c>
      <c r="I30" s="6" t="n">
        <v>22.66</v>
      </c>
      <c r="J30" s="6" t="n">
        <v>-13.83</v>
      </c>
    </row>
    <row r="31" customFormat="false" ht="15" hidden="false" customHeight="false" outlineLevel="0" collapsed="false">
      <c r="A31" s="4" t="s">
        <v>96</v>
      </c>
      <c r="B31" s="4" t="s">
        <v>286</v>
      </c>
      <c r="C31" s="4" t="s">
        <v>297</v>
      </c>
      <c r="D31" s="4" t="s">
        <v>298</v>
      </c>
      <c r="E31" s="14" t="n">
        <v>0.08</v>
      </c>
      <c r="F31" s="4" t="s">
        <v>320</v>
      </c>
      <c r="G31" s="6" t="n">
        <v>41.64</v>
      </c>
      <c r="H31" s="4" t="s">
        <v>288</v>
      </c>
      <c r="I31" s="6" t="n">
        <v>25.61</v>
      </c>
      <c r="J31" s="6" t="n">
        <v>-16.03</v>
      </c>
    </row>
    <row r="32" customFormat="false" ht="15" hidden="false" customHeight="false" outlineLevel="0" collapsed="false">
      <c r="A32" s="4" t="s">
        <v>96</v>
      </c>
      <c r="B32" s="4" t="s">
        <v>286</v>
      </c>
      <c r="C32" s="4" t="s">
        <v>297</v>
      </c>
      <c r="D32" s="4" t="s">
        <v>298</v>
      </c>
      <c r="E32" s="14" t="n">
        <v>0.08</v>
      </c>
      <c r="F32" s="4" t="s">
        <v>321</v>
      </c>
      <c r="G32" s="6" t="n">
        <v>41.77</v>
      </c>
      <c r="H32" s="4" t="s">
        <v>288</v>
      </c>
      <c r="I32" s="6" t="n">
        <v>25.51</v>
      </c>
      <c r="J32" s="6" t="n">
        <v>-16.26</v>
      </c>
    </row>
    <row r="33" customFormat="false" ht="15" hidden="false" customHeight="false" outlineLevel="0" collapsed="false">
      <c r="A33" s="4" t="s">
        <v>96</v>
      </c>
      <c r="B33" s="4" t="s">
        <v>286</v>
      </c>
      <c r="C33" s="4" t="s">
        <v>297</v>
      </c>
      <c r="D33" s="4" t="s">
        <v>298</v>
      </c>
      <c r="E33" s="14" t="n">
        <v>0.076</v>
      </c>
      <c r="F33" s="4" t="s">
        <v>322</v>
      </c>
      <c r="G33" s="6" t="n">
        <v>41.9</v>
      </c>
      <c r="H33" s="4" t="s">
        <v>288</v>
      </c>
      <c r="I33" s="6" t="n">
        <v>24.37</v>
      </c>
      <c r="J33" s="6" t="n">
        <v>-17.53</v>
      </c>
    </row>
    <row r="34" customFormat="false" ht="15" hidden="false" customHeight="false" outlineLevel="0" collapsed="false">
      <c r="A34" s="4" t="s">
        <v>96</v>
      </c>
      <c r="B34" s="4" t="s">
        <v>286</v>
      </c>
      <c r="C34" s="4" t="s">
        <v>297</v>
      </c>
      <c r="D34" s="4" t="s">
        <v>298</v>
      </c>
      <c r="E34" s="14" t="n">
        <v>5</v>
      </c>
      <c r="F34" s="4" t="s">
        <v>323</v>
      </c>
      <c r="G34" s="6" t="n">
        <v>2340.7</v>
      </c>
      <c r="H34" s="4" t="s">
        <v>288</v>
      </c>
      <c r="I34" s="6" t="n">
        <v>1584.47</v>
      </c>
      <c r="J34" s="6" t="n">
        <v>-756.23</v>
      </c>
    </row>
    <row r="35" customFormat="false" ht="15" hidden="false" customHeight="false" outlineLevel="0" collapsed="false">
      <c r="A35" s="4" t="s">
        <v>96</v>
      </c>
      <c r="B35" s="4" t="s">
        <v>286</v>
      </c>
      <c r="C35" s="4" t="s">
        <v>297</v>
      </c>
      <c r="D35" s="4" t="s">
        <v>298</v>
      </c>
      <c r="E35" s="14" t="n">
        <v>0.087</v>
      </c>
      <c r="F35" s="4" t="s">
        <v>324</v>
      </c>
      <c r="G35" s="6" t="n">
        <v>42.03</v>
      </c>
      <c r="H35" s="4" t="s">
        <v>288</v>
      </c>
      <c r="I35" s="6" t="n">
        <v>27.82</v>
      </c>
      <c r="J35" s="6" t="n">
        <v>-14.21</v>
      </c>
    </row>
    <row r="36" customFormat="false" ht="15" hidden="false" customHeight="false" outlineLevel="0" collapsed="false">
      <c r="A36" s="4" t="s">
        <v>96</v>
      </c>
      <c r="B36" s="4" t="s">
        <v>286</v>
      </c>
      <c r="C36" s="4" t="s">
        <v>297</v>
      </c>
      <c r="D36" s="4" t="s">
        <v>298</v>
      </c>
      <c r="E36" s="14" t="n">
        <v>0.12</v>
      </c>
      <c r="F36" s="4" t="s">
        <v>325</v>
      </c>
      <c r="G36" s="6" t="n">
        <v>57.45</v>
      </c>
      <c r="H36" s="4" t="s">
        <v>288</v>
      </c>
      <c r="I36" s="6" t="n">
        <v>38.06</v>
      </c>
      <c r="J36" s="6" t="n">
        <v>-19.39</v>
      </c>
    </row>
    <row r="37" customFormat="false" ht="15" hidden="false" customHeight="false" outlineLevel="0" collapsed="false">
      <c r="A37" s="4" t="s">
        <v>96</v>
      </c>
      <c r="B37" s="4" t="s">
        <v>286</v>
      </c>
      <c r="C37" s="4" t="s">
        <v>297</v>
      </c>
      <c r="D37" s="4" t="s">
        <v>298</v>
      </c>
      <c r="E37" s="14" t="n">
        <v>0.119</v>
      </c>
      <c r="F37" s="4" t="s">
        <v>326</v>
      </c>
      <c r="G37" s="6" t="n">
        <v>57.68</v>
      </c>
      <c r="H37" s="4" t="s">
        <v>288</v>
      </c>
      <c r="I37" s="6" t="n">
        <v>37.84</v>
      </c>
      <c r="J37" s="6" t="n">
        <v>-19.84</v>
      </c>
    </row>
    <row r="38" customFormat="false" ht="15" hidden="false" customHeight="false" outlineLevel="0" collapsed="false">
      <c r="A38" s="4" t="s">
        <v>96</v>
      </c>
      <c r="B38" s="4" t="s">
        <v>286</v>
      </c>
      <c r="C38" s="4" t="s">
        <v>297</v>
      </c>
      <c r="D38" s="4" t="s">
        <v>298</v>
      </c>
      <c r="E38" s="14" t="n">
        <v>0.106</v>
      </c>
      <c r="F38" s="4" t="s">
        <v>327</v>
      </c>
      <c r="G38" s="6" t="n">
        <v>57.9</v>
      </c>
      <c r="H38" s="4" t="s">
        <v>288</v>
      </c>
      <c r="I38" s="6" t="n">
        <v>33.65</v>
      </c>
      <c r="J38" s="6" t="n">
        <v>-24.25</v>
      </c>
    </row>
    <row r="39" customFormat="false" ht="15" hidden="false" customHeight="false" outlineLevel="0" collapsed="false">
      <c r="A39" s="4" t="s">
        <v>96</v>
      </c>
      <c r="B39" s="4" t="s">
        <v>286</v>
      </c>
      <c r="C39" s="4" t="s">
        <v>297</v>
      </c>
      <c r="D39" s="4" t="s">
        <v>298</v>
      </c>
      <c r="E39" s="14" t="n">
        <v>0.118</v>
      </c>
      <c r="F39" s="4" t="s">
        <v>328</v>
      </c>
      <c r="G39" s="6" t="n">
        <v>58.1</v>
      </c>
      <c r="H39" s="4" t="s">
        <v>288</v>
      </c>
      <c r="I39" s="6" t="n">
        <v>37.65</v>
      </c>
      <c r="J39" s="6" t="n">
        <v>-20.45</v>
      </c>
    </row>
    <row r="40" customFormat="false" ht="15" hidden="false" customHeight="false" outlineLevel="0" collapsed="false">
      <c r="A40" s="4" t="s">
        <v>96</v>
      </c>
      <c r="B40" s="4" t="s">
        <v>286</v>
      </c>
      <c r="C40" s="4" t="s">
        <v>297</v>
      </c>
      <c r="D40" s="4" t="s">
        <v>298</v>
      </c>
      <c r="E40" s="14" t="n">
        <v>0.132</v>
      </c>
      <c r="F40" s="4" t="s">
        <v>329</v>
      </c>
      <c r="G40" s="6" t="n">
        <v>65.15</v>
      </c>
      <c r="H40" s="4" t="s">
        <v>288</v>
      </c>
      <c r="I40" s="6" t="n">
        <v>42.05</v>
      </c>
      <c r="J40" s="6" t="n">
        <v>-23.1</v>
      </c>
    </row>
    <row r="41" customFormat="false" ht="15" hidden="false" customHeight="false" outlineLevel="0" collapsed="false">
      <c r="A41" s="4" t="s">
        <v>198</v>
      </c>
      <c r="B41" s="4" t="s">
        <v>286</v>
      </c>
      <c r="C41" s="4" t="s">
        <v>291</v>
      </c>
      <c r="D41" s="4" t="s">
        <v>292</v>
      </c>
      <c r="E41" s="14" t="n">
        <v>0.026</v>
      </c>
      <c r="F41" s="4" t="s">
        <v>293</v>
      </c>
      <c r="G41" s="6" t="n">
        <v>1.39</v>
      </c>
      <c r="H41" s="4" t="s">
        <v>330</v>
      </c>
      <c r="I41" s="6" t="n">
        <v>1.08</v>
      </c>
      <c r="J41" s="6" t="n">
        <v>-0.31</v>
      </c>
    </row>
    <row r="42" customFormat="false" ht="15" hidden="false" customHeight="false" outlineLevel="0" collapsed="false">
      <c r="A42" s="4" t="s">
        <v>198</v>
      </c>
      <c r="B42" s="4" t="s">
        <v>286</v>
      </c>
      <c r="C42" s="4" t="s">
        <v>291</v>
      </c>
      <c r="D42" s="4" t="s">
        <v>292</v>
      </c>
      <c r="E42" s="14" t="n">
        <v>0.028</v>
      </c>
      <c r="F42" s="4" t="s">
        <v>295</v>
      </c>
      <c r="G42" s="6" t="n">
        <v>1.4</v>
      </c>
      <c r="H42" s="4" t="s">
        <v>330</v>
      </c>
      <c r="I42" s="6" t="n">
        <v>1.18</v>
      </c>
      <c r="J42" s="6" t="n">
        <v>-0.22</v>
      </c>
    </row>
    <row r="43" customFormat="false" ht="15" hidden="false" customHeight="false" outlineLevel="0" collapsed="false">
      <c r="A43" s="4" t="s">
        <v>198</v>
      </c>
      <c r="B43" s="4" t="s">
        <v>286</v>
      </c>
      <c r="C43" s="4" t="s">
        <v>291</v>
      </c>
      <c r="D43" s="4" t="s">
        <v>292</v>
      </c>
      <c r="E43" s="14" t="n">
        <v>0.026</v>
      </c>
      <c r="F43" s="4" t="s">
        <v>296</v>
      </c>
      <c r="G43" s="6" t="n">
        <v>1.41</v>
      </c>
      <c r="H43" s="4" t="s">
        <v>330</v>
      </c>
      <c r="I43" s="6" t="n">
        <v>1.09</v>
      </c>
      <c r="J43" s="6" t="n">
        <v>-0.32</v>
      </c>
    </row>
    <row r="44" customFormat="false" ht="15" hidden="false" customHeight="false" outlineLevel="0" collapsed="false">
      <c r="A44" s="4" t="s">
        <v>198</v>
      </c>
      <c r="B44" s="4" t="s">
        <v>286</v>
      </c>
      <c r="C44" s="4" t="s">
        <v>291</v>
      </c>
      <c r="D44" s="4" t="s">
        <v>292</v>
      </c>
      <c r="E44" s="14" t="n">
        <v>0.028</v>
      </c>
      <c r="F44" s="4" t="s">
        <v>288</v>
      </c>
      <c r="G44" s="6" t="n">
        <v>1.41</v>
      </c>
      <c r="H44" s="4" t="s">
        <v>330</v>
      </c>
      <c r="I44" s="6" t="n">
        <v>1.17</v>
      </c>
      <c r="J44" s="6" t="n">
        <v>-0.24</v>
      </c>
    </row>
    <row r="45" customFormat="false" ht="15" hidden="false" customHeight="false" outlineLevel="0" collapsed="false">
      <c r="A45" s="4" t="s">
        <v>198</v>
      </c>
      <c r="B45" s="4" t="s">
        <v>286</v>
      </c>
      <c r="C45" s="4" t="s">
        <v>331</v>
      </c>
      <c r="D45" s="4" t="s">
        <v>332</v>
      </c>
      <c r="E45" s="14" t="n">
        <v>0.93</v>
      </c>
      <c r="F45" s="4" t="s">
        <v>333</v>
      </c>
      <c r="G45" s="6" t="n">
        <v>43.97</v>
      </c>
      <c r="H45" s="4" t="s">
        <v>334</v>
      </c>
      <c r="I45" s="6" t="n">
        <v>41.07</v>
      </c>
      <c r="J45" s="6" t="n">
        <v>-2.9</v>
      </c>
    </row>
    <row r="46" customFormat="false" ht="15" hidden="false" customHeight="false" outlineLevel="0" collapsed="false">
      <c r="A46" s="4" t="s">
        <v>198</v>
      </c>
      <c r="B46" s="4" t="s">
        <v>286</v>
      </c>
      <c r="C46" s="4" t="s">
        <v>331</v>
      </c>
      <c r="D46" s="4" t="s">
        <v>332</v>
      </c>
      <c r="E46" s="14" t="n">
        <v>0.954</v>
      </c>
      <c r="F46" s="4" t="s">
        <v>335</v>
      </c>
      <c r="G46" s="6" t="n">
        <v>44.46</v>
      </c>
      <c r="H46" s="4" t="s">
        <v>334</v>
      </c>
      <c r="I46" s="6" t="n">
        <v>42.15</v>
      </c>
      <c r="J46" s="6" t="n">
        <v>-2.31</v>
      </c>
    </row>
    <row r="47" customFormat="false" ht="15" hidden="false" customHeight="false" outlineLevel="0" collapsed="false">
      <c r="A47" s="4" t="s">
        <v>198</v>
      </c>
      <c r="B47" s="4" t="s">
        <v>286</v>
      </c>
      <c r="C47" s="4" t="s">
        <v>331</v>
      </c>
      <c r="D47" s="4" t="s">
        <v>332</v>
      </c>
      <c r="E47" s="14" t="n">
        <v>1.15</v>
      </c>
      <c r="F47" s="4" t="s">
        <v>336</v>
      </c>
      <c r="G47" s="6" t="n">
        <v>44.95</v>
      </c>
      <c r="H47" s="4" t="s">
        <v>334</v>
      </c>
      <c r="I47" s="6" t="n">
        <v>50.81</v>
      </c>
      <c r="J47" s="6" t="n">
        <v>5.86</v>
      </c>
    </row>
    <row r="48" customFormat="false" ht="15" hidden="false" customHeight="false" outlineLevel="0" collapsed="false">
      <c r="A48" s="4" t="s">
        <v>198</v>
      </c>
      <c r="B48" s="4" t="s">
        <v>286</v>
      </c>
      <c r="C48" s="4" t="s">
        <v>331</v>
      </c>
      <c r="D48" s="4" t="s">
        <v>332</v>
      </c>
      <c r="E48" s="14" t="n">
        <v>0.984</v>
      </c>
      <c r="F48" s="4" t="s">
        <v>337</v>
      </c>
      <c r="G48" s="6" t="n">
        <v>45.55</v>
      </c>
      <c r="H48" s="4" t="s">
        <v>334</v>
      </c>
      <c r="I48" s="6" t="n">
        <v>43.46</v>
      </c>
      <c r="J48" s="6" t="n">
        <v>-2.09</v>
      </c>
    </row>
    <row r="49" customFormat="false" ht="15" hidden="false" customHeight="false" outlineLevel="0" collapsed="false">
      <c r="A49" s="4" t="s">
        <v>198</v>
      </c>
      <c r="B49" s="4" t="s">
        <v>286</v>
      </c>
      <c r="C49" s="4" t="s">
        <v>202</v>
      </c>
      <c r="D49" s="4" t="s">
        <v>203</v>
      </c>
      <c r="E49" s="14" t="n">
        <v>159.236</v>
      </c>
      <c r="F49" s="4" t="s">
        <v>338</v>
      </c>
      <c r="G49" s="6" t="n">
        <v>1574.74</v>
      </c>
      <c r="H49" s="4" t="s">
        <v>290</v>
      </c>
      <c r="I49" s="6" t="n">
        <v>1500</v>
      </c>
      <c r="J49" s="6" t="n">
        <v>-74.74</v>
      </c>
    </row>
    <row r="50" customFormat="false" ht="15" hidden="false" customHeight="false" outlineLevel="0" collapsed="false">
      <c r="A50" s="4" t="s">
        <v>198</v>
      </c>
      <c r="B50" s="4" t="s">
        <v>286</v>
      </c>
      <c r="C50" s="4" t="s">
        <v>199</v>
      </c>
      <c r="D50" s="4" t="s">
        <v>200</v>
      </c>
      <c r="E50" s="14" t="n">
        <v>209.424</v>
      </c>
      <c r="F50" s="4" t="s">
        <v>339</v>
      </c>
      <c r="G50" s="6" t="n">
        <v>2125.76</v>
      </c>
      <c r="H50" s="4" t="s">
        <v>340</v>
      </c>
      <c r="I50" s="6" t="n">
        <v>2000</v>
      </c>
      <c r="J50" s="6" t="n">
        <v>-125.76</v>
      </c>
    </row>
    <row r="51" customFormat="false" ht="15" hidden="false" customHeight="false" outlineLevel="0" collapsed="false">
      <c r="A51" s="4" t="s">
        <v>198</v>
      </c>
      <c r="B51" s="4" t="s">
        <v>286</v>
      </c>
      <c r="C51" s="4" t="s">
        <v>291</v>
      </c>
      <c r="D51" s="4" t="s">
        <v>292</v>
      </c>
      <c r="E51" s="14" t="n">
        <v>0.405</v>
      </c>
      <c r="F51" s="4" t="s">
        <v>303</v>
      </c>
      <c r="G51" s="6" t="n">
        <v>20.57</v>
      </c>
      <c r="H51" s="4" t="s">
        <v>304</v>
      </c>
      <c r="I51" s="6" t="n">
        <v>18.09</v>
      </c>
      <c r="J51" s="6" t="n">
        <v>-2.48</v>
      </c>
    </row>
    <row r="52" customFormat="false" ht="15" hidden="false" customHeight="false" outlineLevel="0" collapsed="false">
      <c r="A52" s="4" t="s">
        <v>198</v>
      </c>
      <c r="B52" s="4" t="s">
        <v>286</v>
      </c>
      <c r="C52" s="4" t="s">
        <v>291</v>
      </c>
      <c r="D52" s="4" t="s">
        <v>292</v>
      </c>
      <c r="E52" s="14" t="n">
        <v>4.594</v>
      </c>
      <c r="F52" s="4" t="s">
        <v>303</v>
      </c>
      <c r="G52" s="6" t="n">
        <v>232.75</v>
      </c>
      <c r="H52" s="4" t="s">
        <v>330</v>
      </c>
      <c r="I52" s="6" t="n">
        <v>189</v>
      </c>
      <c r="J52" s="6" t="n">
        <v>-43.75</v>
      </c>
    </row>
    <row r="53" customFormat="false" ht="15" hidden="false" customHeight="false" outlineLevel="0" collapsed="false">
      <c r="A53" s="4" t="s">
        <v>198</v>
      </c>
      <c r="B53" s="4" t="s">
        <v>286</v>
      </c>
      <c r="C53" s="4" t="s">
        <v>291</v>
      </c>
      <c r="D53" s="4" t="s">
        <v>292</v>
      </c>
      <c r="E53" s="14" t="n">
        <v>0.026</v>
      </c>
      <c r="F53" s="4" t="s">
        <v>305</v>
      </c>
      <c r="G53" s="6" t="n">
        <v>1.14</v>
      </c>
      <c r="H53" s="4" t="s">
        <v>330</v>
      </c>
      <c r="I53" s="6" t="n">
        <v>1.09</v>
      </c>
      <c r="J53" s="6" t="n">
        <v>-0.05</v>
      </c>
    </row>
    <row r="54" customFormat="false" ht="15" hidden="false" customHeight="false" outlineLevel="0" collapsed="false">
      <c r="A54" s="4" t="s">
        <v>198</v>
      </c>
      <c r="B54" s="4" t="s">
        <v>286</v>
      </c>
      <c r="C54" s="4" t="s">
        <v>291</v>
      </c>
      <c r="D54" s="4" t="s">
        <v>292</v>
      </c>
      <c r="E54" s="14" t="n">
        <v>0.025</v>
      </c>
      <c r="F54" s="4" t="s">
        <v>306</v>
      </c>
      <c r="G54" s="6" t="n">
        <v>1.15</v>
      </c>
      <c r="H54" s="4" t="s">
        <v>330</v>
      </c>
      <c r="I54" s="6" t="n">
        <v>1.04</v>
      </c>
      <c r="J54" s="6" t="n">
        <v>-0.11</v>
      </c>
    </row>
    <row r="55" customFormat="false" ht="15" hidden="false" customHeight="false" outlineLevel="0" collapsed="false">
      <c r="A55" s="4" t="s">
        <v>198</v>
      </c>
      <c r="B55" s="4" t="s">
        <v>286</v>
      </c>
      <c r="C55" s="4" t="s">
        <v>291</v>
      </c>
      <c r="D55" s="4" t="s">
        <v>292</v>
      </c>
      <c r="E55" s="14" t="n">
        <v>0.025</v>
      </c>
      <c r="F55" s="4" t="s">
        <v>307</v>
      </c>
      <c r="G55" s="6" t="n">
        <v>1.15</v>
      </c>
      <c r="H55" s="4" t="s">
        <v>330</v>
      </c>
      <c r="I55" s="6" t="n">
        <v>1.06</v>
      </c>
      <c r="J55" s="6" t="n">
        <v>-0.09</v>
      </c>
    </row>
    <row r="56" customFormat="false" ht="15" hidden="false" customHeight="false" outlineLevel="0" collapsed="false">
      <c r="A56" s="4" t="s">
        <v>198</v>
      </c>
      <c r="B56" s="4" t="s">
        <v>286</v>
      </c>
      <c r="C56" s="4" t="s">
        <v>291</v>
      </c>
      <c r="D56" s="4" t="s">
        <v>292</v>
      </c>
      <c r="E56" s="14" t="n">
        <v>0.024</v>
      </c>
      <c r="F56" s="4" t="s">
        <v>308</v>
      </c>
      <c r="G56" s="6" t="n">
        <v>1.22</v>
      </c>
      <c r="H56" s="4" t="s">
        <v>330</v>
      </c>
      <c r="I56" s="6" t="n">
        <v>1</v>
      </c>
      <c r="J56" s="6" t="n">
        <v>-0.22</v>
      </c>
    </row>
    <row r="57" customFormat="false" ht="15" hidden="false" customHeight="false" outlineLevel="0" collapsed="false">
      <c r="A57" s="4" t="s">
        <v>198</v>
      </c>
      <c r="B57" s="4" t="s">
        <v>286</v>
      </c>
      <c r="C57" s="4" t="s">
        <v>291</v>
      </c>
      <c r="D57" s="4" t="s">
        <v>292</v>
      </c>
      <c r="E57" s="14" t="n">
        <v>0.027</v>
      </c>
      <c r="F57" s="4" t="s">
        <v>309</v>
      </c>
      <c r="G57" s="6" t="n">
        <v>1.22</v>
      </c>
      <c r="H57" s="4" t="s">
        <v>330</v>
      </c>
      <c r="I57" s="6" t="n">
        <v>1.12</v>
      </c>
      <c r="J57" s="6" t="n">
        <v>-0.1</v>
      </c>
    </row>
    <row r="58" customFormat="false" ht="15" hidden="false" customHeight="false" outlineLevel="0" collapsed="false">
      <c r="A58" s="4" t="s">
        <v>198</v>
      </c>
      <c r="B58" s="4" t="s">
        <v>286</v>
      </c>
      <c r="C58" s="4" t="s">
        <v>291</v>
      </c>
      <c r="D58" s="4" t="s">
        <v>292</v>
      </c>
      <c r="E58" s="14" t="n">
        <v>0.026</v>
      </c>
      <c r="F58" s="4" t="s">
        <v>310</v>
      </c>
      <c r="G58" s="6" t="n">
        <v>1.23</v>
      </c>
      <c r="H58" s="4" t="s">
        <v>330</v>
      </c>
      <c r="I58" s="6" t="n">
        <v>1.11</v>
      </c>
      <c r="J58" s="6" t="n">
        <v>-0.12</v>
      </c>
    </row>
    <row r="59" customFormat="false" ht="15" hidden="false" customHeight="false" outlineLevel="0" collapsed="false">
      <c r="A59" s="4" t="s">
        <v>198</v>
      </c>
      <c r="B59" s="4" t="s">
        <v>286</v>
      </c>
      <c r="C59" s="4" t="s">
        <v>291</v>
      </c>
      <c r="D59" s="4" t="s">
        <v>292</v>
      </c>
      <c r="E59" s="14" t="n">
        <v>0.028</v>
      </c>
      <c r="F59" s="4" t="s">
        <v>311</v>
      </c>
      <c r="G59" s="6" t="n">
        <v>1.23</v>
      </c>
      <c r="H59" s="4" t="s">
        <v>330</v>
      </c>
      <c r="I59" s="6" t="n">
        <v>1.15</v>
      </c>
      <c r="J59" s="6" t="n">
        <v>-0.08</v>
      </c>
    </row>
    <row r="60" customFormat="false" ht="15" hidden="false" customHeight="false" outlineLevel="0" collapsed="false">
      <c r="A60" s="4" t="s">
        <v>198</v>
      </c>
      <c r="B60" s="4" t="s">
        <v>286</v>
      </c>
      <c r="C60" s="4" t="s">
        <v>291</v>
      </c>
      <c r="D60" s="4" t="s">
        <v>292</v>
      </c>
      <c r="E60" s="14" t="n">
        <v>0.028</v>
      </c>
      <c r="F60" s="4" t="s">
        <v>312</v>
      </c>
      <c r="G60" s="6" t="n">
        <v>1.3</v>
      </c>
      <c r="H60" s="4" t="s">
        <v>330</v>
      </c>
      <c r="I60" s="6" t="n">
        <v>1.17</v>
      </c>
      <c r="J60" s="6" t="n">
        <v>-0.13</v>
      </c>
    </row>
    <row r="61" customFormat="false" ht="15" hidden="false" customHeight="false" outlineLevel="0" collapsed="false">
      <c r="A61" s="4" t="s">
        <v>198</v>
      </c>
      <c r="B61" s="4" t="s">
        <v>286</v>
      </c>
      <c r="C61" s="4" t="s">
        <v>291</v>
      </c>
      <c r="D61" s="4" t="s">
        <v>292</v>
      </c>
      <c r="E61" s="14" t="n">
        <v>0.028</v>
      </c>
      <c r="F61" s="4" t="s">
        <v>313</v>
      </c>
      <c r="G61" s="6" t="n">
        <v>1.31</v>
      </c>
      <c r="H61" s="4" t="s">
        <v>330</v>
      </c>
      <c r="I61" s="6" t="n">
        <v>1.17</v>
      </c>
      <c r="J61" s="6" t="n">
        <v>-0.14</v>
      </c>
    </row>
    <row r="62" customFormat="false" ht="15" hidden="false" customHeight="false" outlineLevel="0" collapsed="false">
      <c r="A62" s="4" t="s">
        <v>198</v>
      </c>
      <c r="B62" s="4" t="s">
        <v>286</v>
      </c>
      <c r="C62" s="4" t="s">
        <v>291</v>
      </c>
      <c r="D62" s="4" t="s">
        <v>292</v>
      </c>
      <c r="E62" s="14" t="n">
        <v>0.027</v>
      </c>
      <c r="F62" s="4" t="s">
        <v>314</v>
      </c>
      <c r="G62" s="6" t="n">
        <v>1.32</v>
      </c>
      <c r="H62" s="4" t="s">
        <v>330</v>
      </c>
      <c r="I62" s="6" t="n">
        <v>1.11</v>
      </c>
      <c r="J62" s="6" t="n">
        <v>-0.21</v>
      </c>
    </row>
    <row r="63" customFormat="false" ht="15" hidden="false" customHeight="false" outlineLevel="0" collapsed="false">
      <c r="A63" s="4" t="s">
        <v>198</v>
      </c>
      <c r="B63" s="4" t="s">
        <v>286</v>
      </c>
      <c r="C63" s="4" t="s">
        <v>291</v>
      </c>
      <c r="D63" s="4" t="s">
        <v>292</v>
      </c>
      <c r="E63" s="14" t="n">
        <v>0.028</v>
      </c>
      <c r="F63" s="4" t="s">
        <v>315</v>
      </c>
      <c r="G63" s="6" t="n">
        <v>1.32</v>
      </c>
      <c r="H63" s="4" t="s">
        <v>330</v>
      </c>
      <c r="I63" s="6" t="n">
        <v>1.16</v>
      </c>
      <c r="J63" s="6" t="n">
        <v>-0.16</v>
      </c>
    </row>
    <row r="64" customFormat="false" ht="15" hidden="false" customHeight="false" outlineLevel="0" collapsed="false">
      <c r="A64" s="4" t="s">
        <v>198</v>
      </c>
      <c r="B64" s="4" t="s">
        <v>286</v>
      </c>
      <c r="C64" s="4" t="s">
        <v>229</v>
      </c>
      <c r="D64" s="4" t="s">
        <v>230</v>
      </c>
      <c r="E64" s="14" t="n">
        <v>15</v>
      </c>
      <c r="F64" s="4" t="s">
        <v>341</v>
      </c>
      <c r="G64" s="6" t="n">
        <v>2489.25</v>
      </c>
      <c r="H64" s="4" t="s">
        <v>342</v>
      </c>
      <c r="I64" s="6" t="n">
        <v>3593.55</v>
      </c>
      <c r="J64" s="6" t="n">
        <v>1104.3</v>
      </c>
    </row>
    <row r="65" customFormat="false" ht="15" hidden="false" customHeight="false" outlineLevel="0" collapsed="false">
      <c r="A65" s="4" t="s">
        <v>198</v>
      </c>
      <c r="B65" s="4" t="s">
        <v>286</v>
      </c>
      <c r="C65" s="4" t="s">
        <v>331</v>
      </c>
      <c r="D65" s="4" t="s">
        <v>332</v>
      </c>
      <c r="E65" s="14" t="n">
        <v>66</v>
      </c>
      <c r="F65" s="4" t="s">
        <v>343</v>
      </c>
      <c r="G65" s="6" t="n">
        <v>3355.44</v>
      </c>
      <c r="H65" s="4" t="s">
        <v>334</v>
      </c>
      <c r="I65" s="6" t="n">
        <v>2914.56</v>
      </c>
      <c r="J65" s="6" t="n">
        <v>-440.88</v>
      </c>
    </row>
    <row r="66" customFormat="false" ht="15" hidden="false" customHeight="false" outlineLevel="0" collapsed="false">
      <c r="A66" s="4" t="s">
        <v>198</v>
      </c>
      <c r="B66" s="4" t="s">
        <v>286</v>
      </c>
      <c r="C66" s="4" t="s">
        <v>331</v>
      </c>
      <c r="D66" s="4" t="s">
        <v>332</v>
      </c>
      <c r="E66" s="14" t="n">
        <v>0.518</v>
      </c>
      <c r="F66" s="4" t="s">
        <v>344</v>
      </c>
      <c r="G66" s="6" t="n">
        <v>26.73</v>
      </c>
      <c r="H66" s="4" t="s">
        <v>334</v>
      </c>
      <c r="I66" s="6" t="n">
        <v>22.91</v>
      </c>
      <c r="J66" s="6" t="n">
        <v>-3.82</v>
      </c>
    </row>
    <row r="67" customFormat="false" ht="15" hidden="false" customHeight="false" outlineLevel="0" collapsed="false">
      <c r="A67" s="4" t="s">
        <v>198</v>
      </c>
      <c r="B67" s="4" t="s">
        <v>286</v>
      </c>
      <c r="C67" s="4" t="s">
        <v>331</v>
      </c>
      <c r="D67" s="4" t="s">
        <v>332</v>
      </c>
      <c r="E67" s="14" t="n">
        <v>0.576</v>
      </c>
      <c r="F67" s="4" t="s">
        <v>345</v>
      </c>
      <c r="G67" s="6" t="n">
        <v>26.94</v>
      </c>
      <c r="H67" s="4" t="s">
        <v>334</v>
      </c>
      <c r="I67" s="6" t="n">
        <v>25.45</v>
      </c>
      <c r="J67" s="6" t="n">
        <v>-1.49</v>
      </c>
    </row>
    <row r="68" customFormat="false" ht="15" hidden="false" customHeight="false" outlineLevel="0" collapsed="false">
      <c r="A68" s="4" t="s">
        <v>198</v>
      </c>
      <c r="B68" s="4" t="s">
        <v>286</v>
      </c>
      <c r="C68" s="4" t="s">
        <v>331</v>
      </c>
      <c r="D68" s="4" t="s">
        <v>332</v>
      </c>
      <c r="E68" s="14" t="n">
        <v>0.649</v>
      </c>
      <c r="F68" s="4" t="s">
        <v>346</v>
      </c>
      <c r="G68" s="6" t="n">
        <v>30.19</v>
      </c>
      <c r="H68" s="4" t="s">
        <v>334</v>
      </c>
      <c r="I68" s="6" t="n">
        <v>28.66</v>
      </c>
      <c r="J68" s="6" t="n">
        <v>-1.53</v>
      </c>
    </row>
    <row r="69" customFormat="false" ht="15" hidden="false" customHeight="false" outlineLevel="0" collapsed="false">
      <c r="A69" s="4" t="s">
        <v>198</v>
      </c>
      <c r="B69" s="4" t="s">
        <v>286</v>
      </c>
      <c r="C69" s="4" t="s">
        <v>331</v>
      </c>
      <c r="D69" s="4" t="s">
        <v>332</v>
      </c>
      <c r="E69" s="14" t="n">
        <v>0.553</v>
      </c>
      <c r="F69" s="4" t="s">
        <v>347</v>
      </c>
      <c r="G69" s="6" t="n">
        <v>30.48</v>
      </c>
      <c r="H69" s="4" t="s">
        <v>334</v>
      </c>
      <c r="I69" s="6" t="n">
        <v>24.46</v>
      </c>
      <c r="J69" s="6" t="n">
        <v>-6.02</v>
      </c>
    </row>
    <row r="70" customFormat="false" ht="15" hidden="false" customHeight="false" outlineLevel="0" collapsed="false">
      <c r="A70" s="4" t="s">
        <v>198</v>
      </c>
      <c r="B70" s="4" t="s">
        <v>286</v>
      </c>
      <c r="C70" s="4" t="s">
        <v>331</v>
      </c>
      <c r="D70" s="4" t="s">
        <v>332</v>
      </c>
      <c r="E70" s="14" t="n">
        <v>0.646</v>
      </c>
      <c r="F70" s="4" t="s">
        <v>348</v>
      </c>
      <c r="G70" s="6" t="n">
        <v>30.73</v>
      </c>
      <c r="H70" s="4" t="s">
        <v>334</v>
      </c>
      <c r="I70" s="6" t="n">
        <v>28.55</v>
      </c>
      <c r="J70" s="6" t="n">
        <v>-2.18</v>
      </c>
    </row>
    <row r="71" customFormat="false" ht="15" hidden="false" customHeight="false" outlineLevel="0" collapsed="false">
      <c r="A71" s="4" t="s">
        <v>198</v>
      </c>
      <c r="B71" s="4" t="s">
        <v>286</v>
      </c>
      <c r="C71" s="4" t="s">
        <v>331</v>
      </c>
      <c r="D71" s="4" t="s">
        <v>332</v>
      </c>
      <c r="E71" s="14" t="n">
        <v>0.826</v>
      </c>
      <c r="F71" s="4" t="s">
        <v>349</v>
      </c>
      <c r="G71" s="6" t="n">
        <v>31.03</v>
      </c>
      <c r="H71" s="4" t="s">
        <v>334</v>
      </c>
      <c r="I71" s="6" t="n">
        <v>36.48</v>
      </c>
      <c r="J71" s="6" t="n">
        <v>5.45</v>
      </c>
    </row>
    <row r="72" customFormat="false" ht="15" hidden="false" customHeight="false" outlineLevel="0" collapsed="false">
      <c r="A72" s="4" t="s">
        <v>198</v>
      </c>
      <c r="B72" s="4" t="s">
        <v>286</v>
      </c>
      <c r="C72" s="4" t="s">
        <v>331</v>
      </c>
      <c r="D72" s="4" t="s">
        <v>332</v>
      </c>
      <c r="E72" s="14" t="n">
        <v>0.813</v>
      </c>
      <c r="F72" s="4" t="s">
        <v>350</v>
      </c>
      <c r="G72" s="6" t="n">
        <v>31.4</v>
      </c>
      <c r="H72" s="4" t="s">
        <v>334</v>
      </c>
      <c r="I72" s="6" t="n">
        <v>35.91</v>
      </c>
      <c r="J72" s="6" t="n">
        <v>4.51</v>
      </c>
    </row>
    <row r="73" customFormat="false" ht="15" hidden="false" customHeight="false" outlineLevel="0" collapsed="false">
      <c r="A73" s="4" t="s">
        <v>198</v>
      </c>
      <c r="B73" s="4" t="s">
        <v>286</v>
      </c>
      <c r="C73" s="4" t="s">
        <v>331</v>
      </c>
      <c r="D73" s="4" t="s">
        <v>332</v>
      </c>
      <c r="E73" s="14" t="n">
        <v>0.664</v>
      </c>
      <c r="F73" s="4" t="s">
        <v>351</v>
      </c>
      <c r="G73" s="6" t="n">
        <v>31.76</v>
      </c>
      <c r="H73" s="4" t="s">
        <v>334</v>
      </c>
      <c r="I73" s="6" t="n">
        <v>29.36</v>
      </c>
      <c r="J73" s="6" t="n">
        <v>-2.4</v>
      </c>
    </row>
    <row r="74" customFormat="false" ht="15" hidden="false" customHeight="false" outlineLevel="0" collapsed="false">
      <c r="A74" s="4" t="s">
        <v>198</v>
      </c>
      <c r="B74" s="4" t="s">
        <v>286</v>
      </c>
      <c r="C74" s="4" t="s">
        <v>331</v>
      </c>
      <c r="D74" s="4" t="s">
        <v>332</v>
      </c>
      <c r="E74" s="14" t="n">
        <v>0.55</v>
      </c>
      <c r="F74" s="4" t="s">
        <v>352</v>
      </c>
      <c r="G74" s="6" t="n">
        <v>32.06</v>
      </c>
      <c r="H74" s="4" t="s">
        <v>334</v>
      </c>
      <c r="I74" s="6" t="n">
        <v>24.31</v>
      </c>
      <c r="J74" s="6" t="n">
        <v>-7.75</v>
      </c>
    </row>
    <row r="75" customFormat="false" ht="15" hidden="false" customHeight="false" outlineLevel="0" collapsed="false">
      <c r="A75" s="4" t="s">
        <v>198</v>
      </c>
      <c r="B75" s="4" t="s">
        <v>286</v>
      </c>
      <c r="C75" s="4" t="s">
        <v>331</v>
      </c>
      <c r="D75" s="4" t="s">
        <v>332</v>
      </c>
      <c r="E75" s="14" t="n">
        <v>0.52</v>
      </c>
      <c r="F75" s="4" t="s">
        <v>353</v>
      </c>
      <c r="G75" s="6" t="n">
        <v>32.31</v>
      </c>
      <c r="H75" s="4" t="s">
        <v>334</v>
      </c>
      <c r="I75" s="6" t="n">
        <v>23</v>
      </c>
      <c r="J75" s="6" t="n">
        <v>-9.31</v>
      </c>
    </row>
    <row r="76" customFormat="false" ht="15" hidden="false" customHeight="false" outlineLevel="0" collapsed="false">
      <c r="A76" s="4" t="s">
        <v>198</v>
      </c>
      <c r="B76" s="4" t="s">
        <v>286</v>
      </c>
      <c r="C76" s="4" t="s">
        <v>331</v>
      </c>
      <c r="D76" s="4" t="s">
        <v>332</v>
      </c>
      <c r="E76" s="14" t="n">
        <v>0.619</v>
      </c>
      <c r="F76" s="4" t="s">
        <v>354</v>
      </c>
      <c r="G76" s="6" t="n">
        <v>34.71</v>
      </c>
      <c r="H76" s="4" t="s">
        <v>334</v>
      </c>
      <c r="I76" s="6" t="n">
        <v>27.34</v>
      </c>
      <c r="J76" s="6" t="n">
        <v>-7.37</v>
      </c>
    </row>
    <row r="77" customFormat="false" ht="15" hidden="false" customHeight="false" outlineLevel="0" collapsed="false">
      <c r="A77" s="4" t="s">
        <v>198</v>
      </c>
      <c r="B77" s="4" t="s">
        <v>286</v>
      </c>
      <c r="C77" s="4" t="s">
        <v>331</v>
      </c>
      <c r="D77" s="4" t="s">
        <v>332</v>
      </c>
      <c r="E77" s="14" t="n">
        <v>0.574</v>
      </c>
      <c r="F77" s="4" t="s">
        <v>355</v>
      </c>
      <c r="G77" s="6" t="n">
        <v>35.01</v>
      </c>
      <c r="H77" s="4" t="s">
        <v>334</v>
      </c>
      <c r="I77" s="6" t="n">
        <v>25.37</v>
      </c>
      <c r="J77" s="6" t="n">
        <v>-9.64</v>
      </c>
    </row>
    <row r="78" customFormat="false" ht="15" hidden="false" customHeight="false" outlineLevel="0" collapsed="false">
      <c r="A78" s="4" t="s">
        <v>198</v>
      </c>
      <c r="B78" s="4" t="s">
        <v>286</v>
      </c>
      <c r="C78" s="4" t="s">
        <v>331</v>
      </c>
      <c r="D78" s="4" t="s">
        <v>332</v>
      </c>
      <c r="E78" s="14" t="n">
        <v>0.589</v>
      </c>
      <c r="F78" s="4" t="s">
        <v>356</v>
      </c>
      <c r="G78" s="6" t="n">
        <v>35.29</v>
      </c>
      <c r="H78" s="4" t="s">
        <v>334</v>
      </c>
      <c r="I78" s="6" t="n">
        <v>26.03</v>
      </c>
      <c r="J78" s="6" t="n">
        <v>-9.26</v>
      </c>
    </row>
    <row r="79" customFormat="false" ht="15" hidden="false" customHeight="false" outlineLevel="0" collapsed="false">
      <c r="A79" s="4" t="s">
        <v>198</v>
      </c>
      <c r="B79" s="4" t="s">
        <v>286</v>
      </c>
      <c r="C79" s="4" t="s">
        <v>331</v>
      </c>
      <c r="D79" s="4" t="s">
        <v>332</v>
      </c>
      <c r="E79" s="14" t="n">
        <v>0.719</v>
      </c>
      <c r="F79" s="4" t="s">
        <v>357</v>
      </c>
      <c r="G79" s="6" t="n">
        <v>35.57</v>
      </c>
      <c r="H79" s="4" t="s">
        <v>334</v>
      </c>
      <c r="I79" s="6" t="n">
        <v>31.78</v>
      </c>
      <c r="J79" s="6" t="n">
        <v>-3.79</v>
      </c>
    </row>
    <row r="80" customFormat="false" ht="15" hidden="false" customHeight="false" outlineLevel="0" collapsed="false">
      <c r="A80" s="4" t="s">
        <v>198</v>
      </c>
      <c r="B80" s="4" t="s">
        <v>286</v>
      </c>
      <c r="C80" s="4" t="s">
        <v>331</v>
      </c>
      <c r="D80" s="4" t="s">
        <v>332</v>
      </c>
      <c r="E80" s="14" t="n">
        <v>0.833</v>
      </c>
      <c r="F80" s="4" t="s">
        <v>358</v>
      </c>
      <c r="G80" s="6" t="n">
        <v>38.91</v>
      </c>
      <c r="H80" s="4" t="s">
        <v>334</v>
      </c>
      <c r="I80" s="6" t="n">
        <v>36.83</v>
      </c>
      <c r="J80" s="6" t="n">
        <v>-2.08</v>
      </c>
    </row>
    <row r="81" customFormat="false" ht="15" hidden="false" customHeight="false" outlineLevel="0" collapsed="false">
      <c r="A81" s="4" t="s">
        <v>198</v>
      </c>
      <c r="B81" s="4" t="s">
        <v>286</v>
      </c>
      <c r="C81" s="4" t="s">
        <v>331</v>
      </c>
      <c r="D81" s="4" t="s">
        <v>332</v>
      </c>
      <c r="E81" s="14" t="n">
        <v>0.835</v>
      </c>
      <c r="F81" s="4" t="s">
        <v>359</v>
      </c>
      <c r="G81" s="6" t="n">
        <v>39.34</v>
      </c>
      <c r="H81" s="4" t="s">
        <v>334</v>
      </c>
      <c r="I81" s="6" t="n">
        <v>36.91</v>
      </c>
      <c r="J81" s="6" t="n">
        <v>-2.43</v>
      </c>
    </row>
    <row r="82" customFormat="false" ht="15" hidden="false" customHeight="false" outlineLevel="0" collapsed="false">
      <c r="A82" s="4" t="s">
        <v>198</v>
      </c>
      <c r="B82" s="4" t="s">
        <v>286</v>
      </c>
      <c r="C82" s="4" t="s">
        <v>331</v>
      </c>
      <c r="D82" s="4" t="s">
        <v>332</v>
      </c>
      <c r="E82" s="14" t="n">
        <v>0.85</v>
      </c>
      <c r="F82" s="4" t="s">
        <v>360</v>
      </c>
      <c r="G82" s="6" t="n">
        <v>39.78</v>
      </c>
      <c r="H82" s="4" t="s">
        <v>334</v>
      </c>
      <c r="I82" s="6" t="n">
        <v>37.57</v>
      </c>
      <c r="J82" s="6" t="n">
        <v>-2.21</v>
      </c>
    </row>
    <row r="83" customFormat="false" ht="15" hidden="false" customHeight="false" outlineLevel="0" collapsed="false">
      <c r="A83" s="4" t="s">
        <v>198</v>
      </c>
      <c r="B83" s="4" t="s">
        <v>286</v>
      </c>
      <c r="C83" s="4" t="s">
        <v>331</v>
      </c>
      <c r="D83" s="4" t="s">
        <v>332</v>
      </c>
      <c r="E83" s="14" t="n">
        <v>1.298</v>
      </c>
      <c r="F83" s="4" t="s">
        <v>361</v>
      </c>
      <c r="G83" s="6" t="n">
        <v>40.22</v>
      </c>
      <c r="H83" s="4" t="s">
        <v>334</v>
      </c>
      <c r="I83" s="6" t="n">
        <v>57.34</v>
      </c>
      <c r="J83" s="6" t="n">
        <v>17.12</v>
      </c>
    </row>
    <row r="84" customFormat="false" ht="15" hidden="false" customHeight="false" outlineLevel="0" collapsed="false">
      <c r="A84" s="4" t="s">
        <v>198</v>
      </c>
      <c r="B84" s="4" t="s">
        <v>286</v>
      </c>
      <c r="C84" s="4" t="s">
        <v>331</v>
      </c>
      <c r="D84" s="4" t="s">
        <v>332</v>
      </c>
      <c r="E84" s="14" t="n">
        <v>1.31</v>
      </c>
      <c r="F84" s="4" t="s">
        <v>311</v>
      </c>
      <c r="G84" s="6" t="n">
        <v>40.89</v>
      </c>
      <c r="H84" s="4" t="s">
        <v>334</v>
      </c>
      <c r="I84" s="6" t="n">
        <v>57.88</v>
      </c>
      <c r="J84" s="6" t="n">
        <v>16.99</v>
      </c>
    </row>
    <row r="85" customFormat="false" ht="15" hidden="false" customHeight="false" outlineLevel="0" collapsed="false">
      <c r="A85" s="4" t="s">
        <v>198</v>
      </c>
      <c r="B85" s="4" t="s">
        <v>286</v>
      </c>
      <c r="C85" s="4" t="s">
        <v>331</v>
      </c>
      <c r="D85" s="4" t="s">
        <v>332</v>
      </c>
      <c r="E85" s="14" t="n">
        <v>1.291</v>
      </c>
      <c r="F85" s="4" t="s">
        <v>312</v>
      </c>
      <c r="G85" s="6" t="n">
        <v>41.58</v>
      </c>
      <c r="H85" s="4" t="s">
        <v>334</v>
      </c>
      <c r="I85" s="6" t="n">
        <v>57.03</v>
      </c>
      <c r="J85" s="6" t="n">
        <v>15.45</v>
      </c>
    </row>
    <row r="86" customFormat="false" ht="15" hidden="false" customHeight="false" outlineLevel="0" collapsed="false">
      <c r="A86" s="4" t="s">
        <v>198</v>
      </c>
      <c r="B86" s="4" t="s">
        <v>286</v>
      </c>
      <c r="C86" s="4" t="s">
        <v>331</v>
      </c>
      <c r="D86" s="4" t="s">
        <v>332</v>
      </c>
      <c r="E86" s="14" t="n">
        <v>1.216</v>
      </c>
      <c r="F86" s="4" t="s">
        <v>362</v>
      </c>
      <c r="G86" s="6" t="n">
        <v>42.25</v>
      </c>
      <c r="H86" s="4" t="s">
        <v>334</v>
      </c>
      <c r="I86" s="6" t="n">
        <v>53.7</v>
      </c>
      <c r="J86" s="6" t="n">
        <v>11.45</v>
      </c>
    </row>
    <row r="87" customFormat="false" ht="15" hidden="false" customHeight="false" outlineLevel="0" collapsed="false">
      <c r="A87" s="4" t="s">
        <v>198</v>
      </c>
      <c r="B87" s="4" t="s">
        <v>286</v>
      </c>
      <c r="C87" s="4" t="s">
        <v>331</v>
      </c>
      <c r="D87" s="4" t="s">
        <v>332</v>
      </c>
      <c r="E87" s="14" t="n">
        <v>1.125</v>
      </c>
      <c r="F87" s="4" t="s">
        <v>363</v>
      </c>
      <c r="G87" s="6" t="n">
        <v>42.88</v>
      </c>
      <c r="H87" s="4" t="s">
        <v>334</v>
      </c>
      <c r="I87" s="6" t="n">
        <v>49.71</v>
      </c>
      <c r="J87" s="6" t="n">
        <v>6.83</v>
      </c>
    </row>
    <row r="88" customFormat="false" ht="15" hidden="false" customHeight="false" outlineLevel="0" collapsed="false">
      <c r="A88" s="4" t="s">
        <v>198</v>
      </c>
      <c r="B88" s="4" t="s">
        <v>286</v>
      </c>
      <c r="C88" s="4" t="s">
        <v>331</v>
      </c>
      <c r="D88" s="4" t="s">
        <v>332</v>
      </c>
      <c r="E88" s="14" t="n">
        <v>0.975</v>
      </c>
      <c r="F88" s="4" t="s">
        <v>364</v>
      </c>
      <c r="G88" s="6" t="n">
        <v>43.46</v>
      </c>
      <c r="H88" s="4" t="s">
        <v>334</v>
      </c>
      <c r="I88" s="6" t="n">
        <v>43.08</v>
      </c>
      <c r="J88" s="6" t="n">
        <v>-0.38</v>
      </c>
    </row>
    <row r="89" customFormat="false" ht="15" hidden="false" customHeight="false" outlineLevel="0" collapsed="false">
      <c r="A89" s="4" t="s">
        <v>198</v>
      </c>
      <c r="B89" s="4" t="s">
        <v>365</v>
      </c>
      <c r="C89" s="4" t="s">
        <v>233</v>
      </c>
      <c r="D89" s="4" t="s">
        <v>234</v>
      </c>
      <c r="E89" s="14" t="n">
        <v>11</v>
      </c>
      <c r="F89" s="4" t="s">
        <v>342</v>
      </c>
      <c r="G89" s="6" t="n">
        <v>3492.11</v>
      </c>
      <c r="H89" s="4" t="s">
        <v>366</v>
      </c>
      <c r="I89" s="6" t="n">
        <v>2411.53</v>
      </c>
      <c r="J89" s="6" t="n">
        <v>-1080.58</v>
      </c>
    </row>
    <row r="90" customFormat="false" ht="15" hidden="false" customHeight="false" outlineLevel="0" collapsed="false">
      <c r="A90" s="4" t="s">
        <v>198</v>
      </c>
      <c r="B90" s="4" t="s">
        <v>365</v>
      </c>
      <c r="C90" s="4" t="s">
        <v>233</v>
      </c>
      <c r="D90" s="4" t="s">
        <v>234</v>
      </c>
      <c r="E90" s="14" t="n">
        <v>0.065</v>
      </c>
      <c r="F90" s="4" t="s">
        <v>367</v>
      </c>
      <c r="G90" s="6" t="n">
        <v>16.28</v>
      </c>
      <c r="H90" s="4" t="s">
        <v>366</v>
      </c>
      <c r="I90" s="6" t="n">
        <v>14.45</v>
      </c>
      <c r="J90" s="6" t="n">
        <v>-1.83</v>
      </c>
    </row>
    <row r="91" customFormat="false" ht="15" hidden="false" customHeight="false" outlineLevel="0" collapsed="false">
      <c r="A91" s="4" t="s">
        <v>198</v>
      </c>
      <c r="B91" s="4" t="s">
        <v>365</v>
      </c>
      <c r="C91" s="4" t="s">
        <v>233</v>
      </c>
      <c r="D91" s="4" t="s">
        <v>234</v>
      </c>
      <c r="E91" s="14" t="n">
        <v>0.074</v>
      </c>
      <c r="F91" s="4" t="s">
        <v>330</v>
      </c>
      <c r="G91" s="6" t="n">
        <v>18.01</v>
      </c>
      <c r="H91" s="4" t="s">
        <v>366</v>
      </c>
      <c r="I91" s="6" t="n">
        <v>16.29</v>
      </c>
      <c r="J91" s="6" t="n">
        <v>-1.72</v>
      </c>
    </row>
    <row r="92" customFormat="false" ht="15" hidden="false" customHeight="false" outlineLevel="0" collapsed="false">
      <c r="A92" s="4" t="s">
        <v>198</v>
      </c>
      <c r="B92" s="4" t="s">
        <v>365</v>
      </c>
      <c r="C92" s="4" t="s">
        <v>233</v>
      </c>
      <c r="D92" s="4" t="s">
        <v>234</v>
      </c>
      <c r="E92" s="14" t="n">
        <v>0.08</v>
      </c>
      <c r="F92" s="4" t="s">
        <v>366</v>
      </c>
      <c r="G92" s="6" t="n">
        <v>26.08</v>
      </c>
      <c r="H92" s="4" t="s">
        <v>368</v>
      </c>
      <c r="I92" s="6" t="n">
        <v>17.69</v>
      </c>
      <c r="J92" s="6" t="n">
        <v>-8.39</v>
      </c>
    </row>
    <row r="93" customFormat="false" ht="15" hidden="false" customHeight="false" outlineLevel="0" collapsed="false">
      <c r="A93" s="4" t="s">
        <v>198</v>
      </c>
      <c r="B93" s="4" t="s">
        <v>365</v>
      </c>
      <c r="C93" s="4" t="s">
        <v>202</v>
      </c>
      <c r="D93" s="4" t="s">
        <v>203</v>
      </c>
      <c r="E93" s="14" t="n">
        <v>164.835</v>
      </c>
      <c r="F93" s="4" t="s">
        <v>338</v>
      </c>
      <c r="G93" s="6" t="n">
        <v>1616.46</v>
      </c>
      <c r="H93" s="4" t="s">
        <v>369</v>
      </c>
      <c r="I93" s="6" t="n">
        <v>1500</v>
      </c>
      <c r="J93" s="6" t="n">
        <v>-116.46</v>
      </c>
    </row>
    <row r="94" customFormat="false" ht="15" hidden="false" customHeight="false" outlineLevel="0" collapsed="false">
      <c r="A94" s="4" t="s">
        <v>198</v>
      </c>
      <c r="B94" s="4" t="s">
        <v>365</v>
      </c>
      <c r="C94" s="4" t="s">
        <v>179</v>
      </c>
      <c r="D94" s="4" t="s">
        <v>180</v>
      </c>
      <c r="E94" s="14" t="n">
        <v>0.992</v>
      </c>
      <c r="F94" s="4" t="s">
        <v>303</v>
      </c>
      <c r="G94" s="6" t="n">
        <v>197.96</v>
      </c>
      <c r="H94" s="4" t="s">
        <v>370</v>
      </c>
      <c r="I94" s="6" t="n">
        <v>237.81</v>
      </c>
      <c r="J94" s="6" t="n">
        <v>39.85</v>
      </c>
    </row>
    <row r="95" customFormat="false" ht="15" hidden="false" customHeight="false" outlineLevel="0" collapsed="false">
      <c r="A95" s="4" t="s">
        <v>198</v>
      </c>
      <c r="B95" s="4" t="s">
        <v>365</v>
      </c>
      <c r="C95" s="4" t="s">
        <v>176</v>
      </c>
      <c r="D95" s="4" t="s">
        <v>177</v>
      </c>
      <c r="E95" s="14" t="n">
        <v>0.992</v>
      </c>
      <c r="F95" s="4" t="s">
        <v>303</v>
      </c>
      <c r="G95" s="6" t="n">
        <v>209.63</v>
      </c>
      <c r="H95" s="4" t="s">
        <v>371</v>
      </c>
      <c r="I95" s="6" t="n">
        <v>221.73</v>
      </c>
      <c r="J95" s="6" t="n">
        <v>12.1</v>
      </c>
    </row>
    <row r="96" customFormat="false" ht="15" hidden="false" customHeight="false" outlineLevel="0" collapsed="false">
      <c r="A96" s="4" t="s">
        <v>198</v>
      </c>
      <c r="B96" s="4" t="s">
        <v>365</v>
      </c>
      <c r="C96" s="4" t="s">
        <v>199</v>
      </c>
      <c r="D96" s="4" t="s">
        <v>200</v>
      </c>
      <c r="E96" s="14" t="n">
        <v>1833.181</v>
      </c>
      <c r="F96" s="4" t="s">
        <v>339</v>
      </c>
      <c r="G96" s="6" t="n">
        <v>19101.25</v>
      </c>
      <c r="H96" s="4" t="s">
        <v>372</v>
      </c>
      <c r="I96" s="6" t="n">
        <v>20000</v>
      </c>
      <c r="J96" s="6" t="n">
        <v>898.75</v>
      </c>
    </row>
    <row r="97" customFormat="false" ht="15" hidden="false" customHeight="false" outlineLevel="0" collapsed="false">
      <c r="A97" s="4" t="s">
        <v>198</v>
      </c>
      <c r="B97" s="4" t="s">
        <v>365</v>
      </c>
      <c r="C97" s="4" t="s">
        <v>72</v>
      </c>
      <c r="D97" s="4" t="s">
        <v>73</v>
      </c>
      <c r="E97" s="14" t="n">
        <v>2604.167</v>
      </c>
      <c r="F97" s="4" t="s">
        <v>289</v>
      </c>
      <c r="G97" s="6" t="n">
        <v>11085.43</v>
      </c>
      <c r="H97" s="4" t="s">
        <v>372</v>
      </c>
      <c r="I97" s="6" t="n">
        <v>10000</v>
      </c>
      <c r="J97" s="6" t="n">
        <v>-1085.43</v>
      </c>
    </row>
    <row r="98" customFormat="false" ht="15" hidden="false" customHeight="false" outlineLevel="0" collapsed="false">
      <c r="A98" s="13" t="s">
        <v>373</v>
      </c>
      <c r="G98" s="22" t="n">
        <f aca="false">SUM(G4:G97)</f>
        <v>64815.78</v>
      </c>
      <c r="I98" s="22" t="n">
        <f aca="false">SUM(I4:I97)</f>
        <v>66492.36</v>
      </c>
      <c r="J98" s="22" t="n">
        <f aca="false">SUM(J4:J97)</f>
        <v>1676.58</v>
      </c>
    </row>
    <row r="99" customFormat="false" ht="15" hidden="false" customHeight="false" outlineLevel="0" collapsed="false">
      <c r="A99" s="2" t="s">
        <v>374</v>
      </c>
    </row>
    <row r="102" customFormat="false" ht="15" hidden="false" customHeight="false" outlineLevel="0" collapsed="false">
      <c r="A102" s="13" t="s">
        <v>375</v>
      </c>
    </row>
    <row r="103" customFormat="false" ht="30" hidden="false" customHeight="true" outlineLevel="0" collapsed="false">
      <c r="A103" s="3" t="s">
        <v>2</v>
      </c>
      <c r="B103" s="3" t="s">
        <v>376</v>
      </c>
      <c r="C103" s="3" t="s">
        <v>377</v>
      </c>
      <c r="D103" s="3" t="s">
        <v>378</v>
      </c>
      <c r="E103" s="3" t="s">
        <v>379</v>
      </c>
    </row>
    <row r="104" customFormat="false" ht="15" hidden="false" customHeight="false" outlineLevel="0" collapsed="false">
      <c r="A104" s="4" t="s">
        <v>60</v>
      </c>
      <c r="B104" s="4" t="s">
        <v>380</v>
      </c>
      <c r="C104" s="4" t="s">
        <v>381</v>
      </c>
      <c r="D104" s="6" t="n">
        <v>401.2</v>
      </c>
      <c r="E104" s="4" t="s">
        <v>382</v>
      </c>
    </row>
    <row r="105" customFormat="false" ht="15" hidden="false" customHeight="false" outlineLevel="0" collapsed="false">
      <c r="A105" s="4" t="s">
        <v>60</v>
      </c>
      <c r="B105" s="4" t="s">
        <v>383</v>
      </c>
      <c r="C105" s="4" t="s">
        <v>384</v>
      </c>
      <c r="D105" s="6" t="n">
        <v>391.09</v>
      </c>
      <c r="E105" s="4" t="s">
        <v>385</v>
      </c>
    </row>
    <row r="106" customFormat="false" ht="15" hidden="false" customHeight="false" outlineLevel="0" collapsed="false">
      <c r="A106" s="4" t="s">
        <v>60</v>
      </c>
      <c r="B106" s="4" t="s">
        <v>386</v>
      </c>
      <c r="C106" s="4" t="s">
        <v>387</v>
      </c>
      <c r="D106" s="6" t="n">
        <v>430.17</v>
      </c>
      <c r="E106" s="4" t="s">
        <v>388</v>
      </c>
    </row>
    <row r="107" customFormat="false" ht="15" hidden="false" customHeight="false" outlineLevel="0" collapsed="false">
      <c r="A107" s="4" t="s">
        <v>60</v>
      </c>
      <c r="B107" s="4" t="s">
        <v>389</v>
      </c>
      <c r="C107" s="4" t="s">
        <v>390</v>
      </c>
      <c r="D107" s="6" t="n">
        <v>456.22</v>
      </c>
      <c r="E107" s="4" t="s">
        <v>391</v>
      </c>
    </row>
    <row r="108" customFormat="false" ht="15" hidden="false" customHeight="false" outlineLevel="0" collapsed="false">
      <c r="A108" s="4" t="s">
        <v>96</v>
      </c>
      <c r="B108" s="4" t="s">
        <v>380</v>
      </c>
      <c r="C108" s="4" t="s">
        <v>381</v>
      </c>
      <c r="D108" s="6" t="n">
        <v>1325.49</v>
      </c>
      <c r="E108" s="4" t="s">
        <v>382</v>
      </c>
    </row>
    <row r="109" customFormat="false" ht="15" hidden="false" customHeight="false" outlineLevel="0" collapsed="false">
      <c r="A109" s="4" t="s">
        <v>96</v>
      </c>
      <c r="B109" s="4" t="s">
        <v>383</v>
      </c>
      <c r="C109" s="4" t="s">
        <v>384</v>
      </c>
      <c r="D109" s="6" t="n">
        <v>1261.52</v>
      </c>
      <c r="E109" s="4" t="s">
        <v>385</v>
      </c>
    </row>
    <row r="110" customFormat="false" ht="15" hidden="false" customHeight="false" outlineLevel="0" collapsed="false">
      <c r="A110" s="4" t="s">
        <v>96</v>
      </c>
      <c r="B110" s="4" t="s">
        <v>386</v>
      </c>
      <c r="C110" s="4" t="s">
        <v>387</v>
      </c>
      <c r="D110" s="6" t="n">
        <v>1429.39</v>
      </c>
      <c r="E110" s="4" t="s">
        <v>388</v>
      </c>
    </row>
    <row r="111" customFormat="false" ht="15" hidden="false" customHeight="false" outlineLevel="0" collapsed="false">
      <c r="A111" s="4" t="s">
        <v>96</v>
      </c>
      <c r="B111" s="4" t="s">
        <v>389</v>
      </c>
      <c r="C111" s="4" t="s">
        <v>390</v>
      </c>
      <c r="D111" s="6" t="n">
        <v>1504.98</v>
      </c>
      <c r="E111" s="4" t="s">
        <v>391</v>
      </c>
    </row>
    <row r="112" customFormat="false" ht="15" hidden="false" customHeight="false" outlineLevel="0" collapsed="false">
      <c r="A112" s="4" t="s">
        <v>198</v>
      </c>
      <c r="B112" s="4" t="s">
        <v>380</v>
      </c>
      <c r="C112" s="4" t="s">
        <v>381</v>
      </c>
      <c r="D112" s="6" t="n">
        <v>944.48</v>
      </c>
      <c r="E112" s="4" t="s">
        <v>382</v>
      </c>
    </row>
    <row r="113" customFormat="false" ht="15" hidden="false" customHeight="false" outlineLevel="0" collapsed="false">
      <c r="A113" s="4" t="s">
        <v>198</v>
      </c>
      <c r="B113" s="4" t="s">
        <v>383</v>
      </c>
      <c r="C113" s="4" t="s">
        <v>384</v>
      </c>
      <c r="D113" s="6" t="n">
        <v>961.87</v>
      </c>
      <c r="E113" s="4" t="s">
        <v>385</v>
      </c>
    </row>
    <row r="114" customFormat="false" ht="15" hidden="false" customHeight="false" outlineLevel="0" collapsed="false">
      <c r="A114" s="4" t="s">
        <v>198</v>
      </c>
      <c r="B114" s="4" t="s">
        <v>386</v>
      </c>
      <c r="C114" s="4" t="s">
        <v>387</v>
      </c>
      <c r="D114" s="6" t="n">
        <v>1002.72</v>
      </c>
      <c r="E114" s="4" t="s">
        <v>388</v>
      </c>
    </row>
    <row r="115" customFormat="false" ht="15" hidden="false" customHeight="false" outlineLevel="0" collapsed="false">
      <c r="A115" s="4" t="s">
        <v>198</v>
      </c>
      <c r="B115" s="4" t="s">
        <v>389</v>
      </c>
      <c r="C115" s="4" t="s">
        <v>390</v>
      </c>
      <c r="D115" s="6" t="n">
        <v>1037.73</v>
      </c>
      <c r="E115" s="4" t="s">
        <v>391</v>
      </c>
    </row>
    <row r="116" customFormat="false" ht="15" hidden="false" customHeight="false" outlineLevel="0" collapsed="false">
      <c r="A116" s="13" t="s">
        <v>392</v>
      </c>
      <c r="D116" s="22" t="n">
        <f aca="false">SUM(D104:D115)</f>
        <v>11146.86</v>
      </c>
    </row>
    <row r="117" customFormat="false" ht="15" hidden="false" customHeight="false" outlineLevel="0" collapsed="false">
      <c r="A117" s="4" t="s">
        <v>393</v>
      </c>
      <c r="D117" s="8" t="n">
        <f aca="false">D116/('Flows &amp; Returns'!L5+'Flows &amp; Returns'!L7+'Flows &amp; Returns'!L11)</f>
        <v>0.0100245311370686</v>
      </c>
    </row>
    <row r="118" customFormat="false" ht="15" hidden="false" customHeight="false" outlineLevel="0" collapsed="false">
      <c r="A118" s="2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2026-09-08T07:20:16Z</dcterms:created>
  <dc:creator>openpyxl</dc:creator>
  <dc:description/>
  <dc:language>en-US</dc:language>
  <cp:lastModifiedBy/>
  <dcterms:modified xsi:type="dcterms:W3CDTF">2026-09-08T07:20:16Z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