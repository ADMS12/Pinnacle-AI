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Holdings" sheetId="2" state="visible" r:id="rId4"/>
    <sheet name="Stock options" sheetId="3" state="visible" r:id="rId5"/>
    <sheet name="Tax scenarios" sheetId="4" state="visible" r:id="rId6"/>
    <sheet name="Unwind ladder" sheetId="5" state="visible" r:id="rId7"/>
    <sheet name="Solo 401k &amp; activity" sheetId="6" state="visible" r:id="rId8"/>
    <sheet name="Fees &amp; incom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<sst xmlns="http://schemas.openxmlformats.org/spreadsheetml/2006/main" count="195" uniqueCount="187">
  <si>
    <t xml:space="preserve">K-G Portfolio Analysis — Kollen Glynn</t>
  </si>
  <si>
    <t xml:space="preserve">Sources: Fidelity Individual TOD statement Jul 2026; Fidelity Self-Employed 401(k) statement Q2 2026 (C:\WAN\K-G). Client: 52, single, WA, ~$700k W2, retiring in 2–3 years.</t>
  </si>
  <si>
    <t xml:space="preserve">Individual account value, 31 Jul 2026</t>
  </si>
  <si>
    <t xml:space="preserve">Stock options (intrinsic), 31 Jul 2026</t>
  </si>
  <si>
    <t xml:space="preserve">Not in the brokerage account; stays at Fidelity Stock Plan Services</t>
  </si>
  <si>
    <t xml:space="preserve">Solo 401(k), 30 Jun 2026</t>
  </si>
  <si>
    <t xml:space="preserve">All cash</t>
  </si>
  <si>
    <t xml:space="preserve">Total shown in the folder</t>
  </si>
  <si>
    <t xml:space="preserve">Excludes $3.93M transferred to another Fidelity account in 2026 — statement not provided</t>
  </si>
  <si>
    <t xml:space="preserve">CHRW exposure (shares + options)</t>
  </si>
  <si>
    <t xml:space="preserve">CHRW share of total</t>
  </si>
  <si>
    <t xml:space="preserve">Plus salary from the same employer</t>
  </si>
  <si>
    <t xml:space="preserve">QQQ share of individual account</t>
  </si>
  <si>
    <t xml:space="preserve">Nasdaq-100: ~50% in ten technology companies</t>
  </si>
  <si>
    <t xml:space="preserve">Unrealized gains, individual account</t>
  </si>
  <si>
    <t xml:space="preserve">Unrealized gain as % of positions</t>
  </si>
  <si>
    <t xml:space="preserve">Every $1 sold carries ~68¢ of taxable gain</t>
  </si>
  <si>
    <t xml:space="preserve">Tax if everything sold this year</t>
  </si>
  <si>
    <t xml:space="preserve">Federal 20% + NIIT 3.8% + WA 7–9.9%</t>
  </si>
  <si>
    <t xml:space="preserve">Tax per year if staged under WA exemption in retirement</t>
  </si>
  <si>
    <t xml:space="preserve">~15% effective vs ~30%</t>
  </si>
  <si>
    <t xml:space="preserve">July 2026 change, account</t>
  </si>
  <si>
    <t xml:space="preserve">−13.5%; CHRW −21.6%, QQQ −6.6%</t>
  </si>
  <si>
    <t xml:space="preserve">July 2026 change, options</t>
  </si>
  <si>
    <t xml:space="preserve">Estimated annual income</t>
  </si>
  <si>
    <t xml:space="preserve">1.0% yield</t>
  </si>
  <si>
    <t xml:space="preserve">Annual fund expense (QQQ)</t>
  </si>
  <si>
    <t xml:space="preserve">No advisory fees</t>
  </si>
  <si>
    <t xml:space="preserve">Fidelity Individual TOD X86-575950 — holdings at 31 Jul 2026</t>
  </si>
  <si>
    <t xml:space="preserve">Kollen Glynn · statement Jul 1–31 2026 · blue = transcribed, black = formula</t>
  </si>
  <si>
    <t xml:space="preserve">Symbol</t>
  </si>
  <si>
    <t xml:space="preserve">Security</t>
  </si>
  <si>
    <t xml:space="preserve">Quantity</t>
  </si>
  <si>
    <t xml:space="preserve">Price 7/31</t>
  </si>
  <si>
    <t xml:space="preserve">Value 7/31</t>
  </si>
  <si>
    <t xml:space="preserve">Value 7/1</t>
  </si>
  <si>
    <t xml:space="preserve">Cost basis</t>
  </si>
  <si>
    <t xml:space="preserve">Unrealized</t>
  </si>
  <si>
    <t xml:space="preserve">Gain % of value</t>
  </si>
  <si>
    <t xml:space="preserve">Est. annual income</t>
  </si>
  <si>
    <t xml:space="preserve">Yield</t>
  </si>
  <si>
    <t xml:space="preserve">% of account</t>
  </si>
  <si>
    <t xml:space="preserve">QQQ</t>
  </si>
  <si>
    <t xml:space="preserve">Invesco QQQ Trust Series 1</t>
  </si>
  <si>
    <t xml:space="preserve">CHRW</t>
  </si>
  <si>
    <t xml:space="preserve">C.H. Robinson Worldwide</t>
  </si>
  <si>
    <t xml:space="preserve">CASH</t>
  </si>
  <si>
    <t xml:space="preserve">Core cash (free credit balance, 1.82%)</t>
  </si>
  <si>
    <t xml:space="preserve">Account value (statement $2,108,781.87)</t>
  </si>
  <si>
    <t xml:space="preserve">July change in investment value (statement −$329,507.00)</t>
  </si>
  <si>
    <t xml:space="preserve">July return on beginning value</t>
  </si>
  <si>
    <t xml:space="preserve">CHRW price change in July ($188.34 → $147.73)</t>
  </si>
  <si>
    <t xml:space="preserve">QQQ price change in July</t>
  </si>
  <si>
    <t xml:space="preserve">Account summary</t>
  </si>
  <si>
    <t xml:space="preserve">Beginning value, 1 Jan 2026</t>
  </si>
  <si>
    <t xml:space="preserve">Transfers to other Fidelity accounts, YTD</t>
  </si>
  <si>
    <t xml:space="preserve">Deposits + exchanges in, YTD</t>
  </si>
  <si>
    <t xml:space="preserve">Withdrawals + exchanges out, YTD</t>
  </si>
  <si>
    <t xml:space="preserve">Change in investment value, YTD</t>
  </si>
  <si>
    <t xml:space="preserve">Ending value 31 Jul 2026</t>
  </si>
  <si>
    <t xml:space="preserve">Net flows in July (deposits − withdrawals)</t>
  </si>
  <si>
    <t xml:space="preserve">Dividends + interest, July / YTD</t>
  </si>
  <si>
    <t xml:space="preserve">Stock-plan value (options, not in account), 1 Jul → 31 Jul</t>
  </si>
  <si>
    <t xml:space="preserve">Total incl. stock plan, 31 Jul</t>
  </si>
  <si>
    <t xml:space="preserve">Note: the $3,934,185 moved to another Fidelity account during 2026 is not in the K-G folder; the YTD −$603,223 investment change is on the combined pre-transfer base, so a YTD return cannot be computed from this statement alone.</t>
  </si>
  <si>
    <t xml:space="preserve">CHRW non-qualified stock options — Fidelity Stock Plan Services</t>
  </si>
  <si>
    <t xml:space="preserve">Values = (price − strike) × options. Change the price in B4 to see sensitivity.</t>
  </si>
  <si>
    <t xml:space="preserve">CHRW price</t>
  </si>
  <si>
    <t xml:space="preserve">Shares held in brokerage</t>
  </si>
  <si>
    <t xml:space="preserve">Grant date</t>
  </si>
  <si>
    <t xml:space="preserve">Expiry</t>
  </si>
  <si>
    <t xml:space="preserve">Grant ID</t>
  </si>
  <si>
    <t xml:space="preserve">Type</t>
  </si>
  <si>
    <t xml:space="preserve">Strike</t>
  </si>
  <si>
    <t xml:space="preserve">Options</t>
  </si>
  <si>
    <t xml:space="preserve">Intrinsic value</t>
  </si>
  <si>
    <t xml:space="preserve">Value at $188.34 (7/1)</t>
  </si>
  <si>
    <t xml:space="preserve">Years to expiry</t>
  </si>
  <si>
    <t xml:space="preserve">12/05/2018</t>
  </si>
  <si>
    <t xml:space="preserve">12/05/2028</t>
  </si>
  <si>
    <t xml:space="preserve">SOPTS18</t>
  </si>
  <si>
    <t xml:space="preserve">NSO</t>
  </si>
  <si>
    <t xml:space="preserve">02/05/2020</t>
  </si>
  <si>
    <t xml:space="preserve">02/05/2030</t>
  </si>
  <si>
    <t xml:space="preserve">SOPTS20</t>
  </si>
  <si>
    <t xml:space="preserve">NSO (ISO disqualified, $100K rule)</t>
  </si>
  <si>
    <t xml:space="preserve">Total (statement $1,241,001.84 / $1,981,971.90)</t>
  </si>
  <si>
    <t xml:space="preserve">CHRW exposure</t>
  </si>
  <si>
    <t xml:space="preserve">Shares in brokerage</t>
  </si>
  <si>
    <t xml:space="preserve">Options intrinsic value</t>
  </si>
  <si>
    <t xml:space="preserve">Total CHRW value</t>
  </si>
  <si>
    <t xml:space="preserve">Total incl. options (Holdings!B28)</t>
  </si>
  <si>
    <t xml:space="preserve">CHRW share of total wealth shown</t>
  </si>
  <si>
    <t xml:space="preserve">Delta-equivalent shares (shares + in-the-money options)</t>
  </si>
  <si>
    <t xml:space="preserve">Notional CHRW exposure</t>
  </si>
  <si>
    <t xml:space="preserve">Loss per $10 fall in CHRW</t>
  </si>
  <si>
    <t xml:space="preserve">July loss on options (7/1 → 7/31)</t>
  </si>
  <si>
    <t xml:space="preserve">Ordinary-income tax on exercising all options today (federal 37% + 2.35% Medicare; no WA income tax)</t>
  </si>
  <si>
    <t xml:space="preserve">Capital-gains tax on selling appreciated positions — 2026 parameters, single filer</t>
  </si>
  <si>
    <t xml:space="preserve">Yellow cells are assumptions; change them. Federal LTCG stacked on other income; NIIT 3.8% above $200k MAGI; WA capital-gains excise: 7% on gains above the exemption, 9.9% above $1M.</t>
  </si>
  <si>
    <t xml:space="preserve">Other taxable income while employed (W2)</t>
  </si>
  <si>
    <t xml:space="preserve">Other taxable income in retirement (assumption)</t>
  </si>
  <si>
    <t xml:space="preserve">Federal 0% LTCG ceiling (single, 2026)</t>
  </si>
  <si>
    <t xml:space="preserve">Federal 15% LTCG ceiling (single, 2026)</t>
  </si>
  <si>
    <t xml:space="preserve">NIIT threshold (single)</t>
  </si>
  <si>
    <t xml:space="preserve">NIIT rate</t>
  </si>
  <si>
    <t xml:space="preserve">WA exemption (2025 indexed; 2026 not yet published)</t>
  </si>
  <si>
    <t xml:space="preserve">WA rate, first $1M taxable</t>
  </si>
  <si>
    <t xml:space="preserve">WA rate above $1M</t>
  </si>
  <si>
    <t xml:space="preserve">Scenario</t>
  </si>
  <si>
    <t xml:space="preserve">Gain realised</t>
  </si>
  <si>
    <t xml:space="preserve">Other income</t>
  </si>
  <si>
    <t xml:space="preserve">Federal LTCG</t>
  </si>
  <si>
    <t xml:space="preserve">NIIT</t>
  </si>
  <si>
    <t xml:space="preserve">WA tax</t>
  </si>
  <si>
    <t xml:space="preserve">Total tax</t>
  </si>
  <si>
    <t xml:space="preserve">Effective rate</t>
  </si>
  <si>
    <t xml:space="preserve">Gain kept</t>
  </si>
  <si>
    <t xml:space="preserve">Sell all QQQ now</t>
  </si>
  <si>
    <t xml:space="preserve">Sell all CHRW now</t>
  </si>
  <si>
    <t xml:space="preserve">Sell both now</t>
  </si>
  <si>
    <t xml:space="preserve">Retired: realise gains up to WA exemption</t>
  </si>
  <si>
    <t xml:space="preserve">Retired: realise $400,000</t>
  </si>
  <si>
    <t xml:space="preserve">Retired: realise $545,500 (top of 15% band)</t>
  </si>
  <si>
    <t xml:space="preserve">Federal ordinary-income bracket of 37% assumed already reached at $700k W2; LTCG brackets stack on top of ordinary income. NIIT applies to the lesser of the gain and MAGI above the threshold. WA tax ignores the charitable deduction (WA-based charities only, capped at $111k).</t>
  </si>
  <si>
    <t xml:space="preserve">Staged diversification — sell up to the WA exemption of gain each year after retirement</t>
  </si>
  <si>
    <t xml:space="preserve">Illustrative; prices held flat at 7/31/26. Yellow cells are levers. Sells CHRW first (single-stock risk, lower gain ratio), then QQQ.</t>
  </si>
  <si>
    <t xml:space="preserve">Gain budget per year</t>
  </si>
  <si>
    <t xml:space="preserve">CHRW gain ratio (gain ÷ value)</t>
  </si>
  <si>
    <t xml:space="preserve">QQQ gain ratio</t>
  </si>
  <si>
    <t xml:space="preserve">Effective tax on gains realised in retirement (Tax scenarios row 18)</t>
  </si>
  <si>
    <t xml:space="preserve">Year</t>
  </si>
  <si>
    <t xml:space="preserve">CHRW value start</t>
  </si>
  <si>
    <t xml:space="preserve">QQQ value start</t>
  </si>
  <si>
    <t xml:space="preserve">CHRW sold</t>
  </si>
  <si>
    <t xml:space="preserve">QQQ sold</t>
  </si>
  <si>
    <t xml:space="preserve">Tax (est.)</t>
  </si>
  <si>
    <t xml:space="preserve">Proceeds to diversify</t>
  </si>
  <si>
    <t xml:space="preserve">CHRW value end</t>
  </si>
  <si>
    <t xml:space="preserve">QQQ value end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</si>
  <si>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</si>
  <si>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</si>
  <si>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</si>
  <si>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</si>
  <si>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</si>
  <si>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</si>
  <si>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Total</t>
  </si>
  <si>
    <t xml:space="preserve">Compare: selling everything in one year while employed (Tax scenarios row 17) costs</t>
  </si>
  <si>
    <t xml:space="preserve">Saving from staging (before time value and market movement)</t>
  </si>
  <si>
    <t xml:space="preserve">Self-Employed 401(k) 264-404076 (Whistler Ventures Inc) — Q2 2026</t>
  </si>
  <si>
    <t xml:space="preserve">100% Fidelity Government Cash Reserves</t>
  </si>
  <si>
    <t xml:space="preserve">Beginning value 1 Apr 2026</t>
  </si>
  <si>
    <t xml:space="preserve">Contributions 2026 YTD</t>
  </si>
  <si>
    <t xml:space="preserve">Money-fund dividends Q2</t>
  </si>
  <si>
    <t xml:space="preserve">Ending value 30 Jun 2026</t>
  </si>
  <si>
    <t xml:space="preserve">Est. annual income (money fund)</t>
  </si>
  <si>
    <t xml:space="preserve">Value 30 Jun (statement $28,717.97)</t>
  </si>
  <si>
    <t xml:space="preserve">Individual account — July 2026 activity</t>
  </si>
  <si>
    <t xml:space="preserve">Date</t>
  </si>
  <si>
    <t xml:space="preserve">Description</t>
  </si>
  <si>
    <t xml:space="preserve">Amount</t>
  </si>
  <si>
    <t xml:space="preserve">07/01</t>
  </si>
  <si>
    <t xml:space="preserve">Withdrawal</t>
  </si>
  <si>
    <t xml:space="preserve">Debit Elan web payment</t>
  </si>
  <si>
    <t xml:space="preserve">07/02</t>
  </si>
  <si>
    <t xml:space="preserve">Dividend</t>
  </si>
  <si>
    <t xml:space="preserve">CH Robinson Worldwide</t>
  </si>
  <si>
    <t xml:space="preserve">Deposit</t>
  </si>
  <si>
    <t xml:space="preserve">Elan Cardsvc redemption</t>
  </si>
  <si>
    <t xml:space="preserve">07/10</t>
  </si>
  <si>
    <t xml:space="preserve">Invesco QQQ Trust</t>
  </si>
  <si>
    <t xml:space="preserve">07/31</t>
  </si>
  <si>
    <t xml:space="preserve">Interest</t>
  </si>
  <si>
    <t xml:space="preserve">Cash interest earned</t>
  </si>
  <si>
    <t xml:space="preserve">Net = change in core cash ($4,424.98)</t>
  </si>
  <si>
    <t xml:space="preserve">Fees and income</t>
  </si>
  <si>
    <t xml:space="preserve">No advisory fee on either account; costs are fund expenses and cash drag</t>
  </si>
  <si>
    <t xml:space="preserve">QQQ expense ratio (assumption)</t>
  </si>
  <si>
    <t xml:space="preserve">QQQ annual expense ($)</t>
  </si>
  <si>
    <t xml:space="preserve">Cash yield on Fidelity free credit balance</t>
  </si>
  <si>
    <t xml:space="preserve">Cash interest earned per year at that rate</t>
  </si>
  <si>
    <t xml:space="preserve">Money-market alternative yield (assumption)</t>
  </si>
  <si>
    <t xml:space="preserve">Foregone interest on brokerage cash</t>
  </si>
  <si>
    <t xml:space="preserve">Estimated annual dividends, individual account</t>
  </si>
  <si>
    <t xml:space="preserve">Portfolio yield</t>
  </si>
  <si>
    <t xml:space="preserve">Fidelity outgoing ACATS fee</t>
  </si>
  <si>
    <t xml:space="preserve">Schwab incoming ACATS fee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</si>
</sst>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%;\(0.0%\);\-"/>
    <numFmt numFmtId="167" formatCode="#,##0"/>
    <numFmt numFmtId="168" formatCode="\$#,##0.00"/>
    <numFmt numFmtId="169" formatCode="\$#,##0.00;&quot;($&quot;#,##0.00\);\-"/>
    <numFmt numFmtId="170" formatCode="0.00%"/>
    <numFmt numFmtId="171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Holdings!E9</f>
        <v>2108781.87</v>
      </c>
      <c r="C4" s="2"/>
    </row>
    <row r="5" customFormat="false" ht="15" hidden="false" customHeight="false" outlineLevel="0" collapsed="false">
      <c r="A5" s="3" t="s">
        <v>3</v>
      </c>
      <c r="B5" s="4" t="n">
        <f aca="false">'Stock options'!G11</f>
        <v>1241001.84</v>
      </c>
      <c r="C5" s="2" t="s">
        <v>4</v>
      </c>
    </row>
    <row r="6" customFormat="false" ht="15" hidden="false" customHeight="false" outlineLevel="0" collapsed="false">
      <c r="A6" s="3" t="s">
        <v>5</v>
      </c>
      <c r="B6" s="4" t="n">
        <f aca="false">'Solo 401k &amp; activity'!B9</f>
        <v>28717.97</v>
      </c>
      <c r="C6" s="2" t="s">
        <v>6</v>
      </c>
    </row>
    <row r="7" customFormat="false" ht="15" hidden="false" customHeight="false" outlineLevel="0" collapsed="false">
      <c r="A7" s="3" t="s">
        <v>7</v>
      </c>
      <c r="B7" s="4" t="n">
        <f aca="false">B4+B5+B6</f>
        <v>3378501.68</v>
      </c>
      <c r="C7" s="2" t="s">
        <v>8</v>
      </c>
    </row>
    <row r="8" customFormat="false" ht="15" hidden="false" customHeight="false" outlineLevel="0" collapsed="false">
      <c r="A8" s="3" t="s">
        <v>9</v>
      </c>
      <c r="B8" s="4" t="n">
        <f aca="false">'Stock options'!G16</f>
        <v>2165052.99</v>
      </c>
      <c r="C8" s="2"/>
    </row>
    <row r="9" customFormat="false" ht="15" hidden="false" customHeight="false" outlineLevel="0" collapsed="false">
      <c r="A9" s="3" t="s">
        <v>10</v>
      </c>
      <c r="B9" s="5" t="n">
        <f aca="false">'Stock options'!G16/B7</f>
        <v>0.640832296404245</v>
      </c>
      <c r="C9" s="2" t="s">
        <v>11</v>
      </c>
    </row>
    <row r="10" customFormat="false" ht="15" hidden="false" customHeight="false" outlineLevel="0" collapsed="false">
      <c r="A10" s="3" t="s">
        <v>12</v>
      </c>
      <c r="B10" s="5" t="n">
        <f aca="false">Holdings!L5</f>
        <v>0.544837432616964</v>
      </c>
      <c r="C10" s="2" t="s">
        <v>13</v>
      </c>
    </row>
    <row r="11" customFormat="false" ht="15" hidden="false" customHeight="false" outlineLevel="0" collapsed="false">
      <c r="A11" s="3" t="s">
        <v>14</v>
      </c>
      <c r="B11" s="4" t="n">
        <f aca="false">Holdings!H9</f>
        <v>1426167.76</v>
      </c>
      <c r="C11" s="2"/>
    </row>
    <row r="12" customFormat="false" ht="15" hidden="false" customHeight="false" outlineLevel="0" collapsed="false">
      <c r="A12" s="3" t="s">
        <v>15</v>
      </c>
      <c r="B12" s="5" t="n">
        <f aca="false">Holdings!I9</f>
        <v>0.687974712136832</v>
      </c>
      <c r="C12" s="2" t="s">
        <v>16</v>
      </c>
    </row>
    <row r="13" customFormat="false" ht="15" hidden="false" customHeight="false" outlineLevel="0" collapsed="false">
      <c r="A13" s="3" t="s">
        <v>17</v>
      </c>
      <c r="B13" s="4" t="n">
        <f aca="false">'Tax scenarios'!G17</f>
        <v>424096.53512</v>
      </c>
      <c r="C13" s="2" t="s">
        <v>18</v>
      </c>
    </row>
    <row r="14" customFormat="false" ht="15" hidden="false" customHeight="false" outlineLevel="0" collapsed="false">
      <c r="A14" s="3" t="s">
        <v>19</v>
      </c>
      <c r="B14" s="4" t="n">
        <f aca="false">'Tax scenarios'!G18</f>
        <v>41006.5</v>
      </c>
      <c r="C14" s="2" t="s">
        <v>20</v>
      </c>
    </row>
    <row r="15" customFormat="false" ht="15" hidden="false" customHeight="false" outlineLevel="0" collapsed="false">
      <c r="A15" s="3" t="s">
        <v>21</v>
      </c>
      <c r="B15" s="4" t="n">
        <f aca="false">Holdings!E11</f>
        <v>-329507</v>
      </c>
      <c r="C15" s="2" t="s">
        <v>22</v>
      </c>
    </row>
    <row r="16" customFormat="false" ht="15" hidden="false" customHeight="false" outlineLevel="0" collapsed="false">
      <c r="A16" s="3" t="s">
        <v>23</v>
      </c>
      <c r="B16" s="4" t="n">
        <f aca="false">'Stock options'!G22</f>
        <v>740970.06</v>
      </c>
      <c r="C16" s="2"/>
    </row>
    <row r="17" customFormat="false" ht="15" hidden="false" customHeight="false" outlineLevel="0" collapsed="false">
      <c r="A17" s="3" t="s">
        <v>24</v>
      </c>
      <c r="B17" s="4" t="n">
        <f aca="false">Holdings!J9</f>
        <v>20829.95</v>
      </c>
      <c r="C17" s="2" t="s">
        <v>25</v>
      </c>
    </row>
    <row r="18" customFormat="false" ht="15" hidden="false" customHeight="false" outlineLevel="0" collapsed="false">
      <c r="A18" s="3" t="s">
        <v>26</v>
      </c>
      <c r="B18" s="4" t="n">
        <f aca="false">'Fees &amp; income'!B5</f>
        <v>2297.8866</v>
      </c>
      <c r="C18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0"/>
    <col collapsed="false" customWidth="true" hidden="false" outlineLevel="0" max="4" min="3" style="0" width="12"/>
    <col collapsed="false" customWidth="true" hidden="false" outlineLevel="0" max="8" min="5" style="0" width="16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4" customFormat="false" ht="26.85" hidden="false" customHeight="false" outlineLevel="0" collapsed="false">
      <c r="A4" s="6" t="s">
        <v>30</v>
      </c>
      <c r="B4" s="6" t="s">
        <v>31</v>
      </c>
      <c r="C4" s="6" t="s">
        <v>32</v>
      </c>
      <c r="D4" s="6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6" t="s">
        <v>39</v>
      </c>
      <c r="K4" s="6" t="s">
        <v>40</v>
      </c>
      <c r="L4" s="6" t="s">
        <v>41</v>
      </c>
    </row>
    <row r="5" customFormat="false" ht="15" hidden="false" customHeight="false" outlineLevel="0" collapsed="false">
      <c r="A5" s="3" t="s">
        <v>42</v>
      </c>
      <c r="B5" s="3" t="s">
        <v>43</v>
      </c>
      <c r="C5" s="7" t="n">
        <v>1670</v>
      </c>
      <c r="D5" s="8" t="n">
        <v>687.99</v>
      </c>
      <c r="E5" s="9" t="n">
        <v>1148943.3</v>
      </c>
      <c r="F5" s="9" t="n">
        <v>1229788</v>
      </c>
      <c r="G5" s="9" t="n">
        <v>179654.9</v>
      </c>
      <c r="H5" s="9" t="n">
        <v>969288.4</v>
      </c>
      <c r="I5" s="10" t="n">
        <f aca="false">H5/E5</f>
        <v>0.8436346684819</v>
      </c>
      <c r="J5" s="9" t="n">
        <v>5067.35</v>
      </c>
      <c r="K5" s="11" t="n">
        <v>0.0044</v>
      </c>
      <c r="L5" s="10" t="n">
        <f aca="false">E5/$E$9</f>
        <v>0.544837432616964</v>
      </c>
    </row>
    <row r="6" customFormat="false" ht="15" hidden="false" customHeight="false" outlineLevel="0" collapsed="false">
      <c r="A6" s="3" t="s">
        <v>44</v>
      </c>
      <c r="B6" s="3" t="s">
        <v>45</v>
      </c>
      <c r="C6" s="7" t="n">
        <v>6255</v>
      </c>
      <c r="D6" s="8" t="n">
        <v>147.73</v>
      </c>
      <c r="E6" s="9" t="n">
        <v>924051.15</v>
      </c>
      <c r="F6" s="9" t="n">
        <v>1178066.7</v>
      </c>
      <c r="G6" s="9" t="n">
        <v>467171.79</v>
      </c>
      <c r="H6" s="9" t="n">
        <v>456879.36</v>
      </c>
      <c r="I6" s="10" t="n">
        <f aca="false">H6/E6</f>
        <v>0.494430811541114</v>
      </c>
      <c r="J6" s="9" t="n">
        <v>15762.6</v>
      </c>
      <c r="K6" s="11" t="n">
        <v>0.0171</v>
      </c>
      <c r="L6" s="10" t="n">
        <f aca="false">E6/$E$9</f>
        <v>0.438191907444652</v>
      </c>
    </row>
    <row r="7" customFormat="false" ht="15" hidden="false" customHeight="false" outlineLevel="0" collapsed="false">
      <c r="A7" s="3" t="s">
        <v>46</v>
      </c>
      <c r="B7" s="3" t="s">
        <v>47</v>
      </c>
      <c r="E7" s="9" t="n">
        <v>35787.42</v>
      </c>
      <c r="F7" s="9" t="n">
        <v>31362.44</v>
      </c>
      <c r="L7" s="10" t="n">
        <f aca="false">E7/$E$9</f>
        <v>0.0169706599383842</v>
      </c>
    </row>
    <row r="9" customFormat="false" ht="15" hidden="false" customHeight="false" outlineLevel="0" collapsed="false">
      <c r="B9" s="12" t="s">
        <v>48</v>
      </c>
      <c r="E9" s="13" t="n">
        <f aca="false">SUM(E5:E7)</f>
        <v>2108781.87</v>
      </c>
      <c r="F9" s="13" t="n">
        <f aca="false">SUM(F5:F7)</f>
        <v>2439217.14</v>
      </c>
      <c r="G9" s="13" t="n">
        <f aca="false">SUM(G5:G6)</f>
        <v>646826.69</v>
      </c>
      <c r="H9" s="13" t="n">
        <f aca="false">SUM(H5:H6)</f>
        <v>1426167.76</v>
      </c>
      <c r="I9" s="14" t="n">
        <f aca="false">H9/(E5+E6)</f>
        <v>0.687974712136832</v>
      </c>
      <c r="J9" s="13" t="n">
        <f aca="false">SUM(J5:J6)</f>
        <v>20829.95</v>
      </c>
    </row>
    <row r="11" customFormat="false" ht="15" hidden="false" customHeight="false" outlineLevel="0" collapsed="false">
      <c r="B11" s="3" t="s">
        <v>49</v>
      </c>
      <c r="E11" s="15" t="n">
        <f aca="false">E9-F9-B23</f>
        <v>-329507</v>
      </c>
    </row>
    <row r="12" customFormat="false" ht="15" hidden="false" customHeight="false" outlineLevel="0" collapsed="false">
      <c r="B12" s="3" t="s">
        <v>50</v>
      </c>
      <c r="E12" s="10" t="n">
        <f aca="false">E11/F9</f>
        <v>-0.135087194410252</v>
      </c>
    </row>
    <row r="13" customFormat="false" ht="15" hidden="false" customHeight="false" outlineLevel="0" collapsed="false">
      <c r="B13" s="3" t="s">
        <v>51</v>
      </c>
      <c r="E13" s="10" t="n">
        <f aca="false">147.73/188.34-1</f>
        <v>-0.215620685993416</v>
      </c>
    </row>
    <row r="14" customFormat="false" ht="15" hidden="false" customHeight="false" outlineLevel="0" collapsed="false">
      <c r="B14" s="3" t="s">
        <v>52</v>
      </c>
      <c r="E14" s="10" t="n">
        <f aca="false">E5/F5-1</f>
        <v>-0.0657387289516567</v>
      </c>
    </row>
    <row r="16" customFormat="false" ht="15" hidden="false" customHeight="false" outlineLevel="0" collapsed="false">
      <c r="A16" s="12" t="s">
        <v>53</v>
      </c>
    </row>
    <row r="17" customFormat="false" ht="15" hidden="false" customHeight="false" outlineLevel="0" collapsed="false">
      <c r="A17" s="3" t="s">
        <v>54</v>
      </c>
      <c r="B17" s="9" t="n">
        <v>6647397.29</v>
      </c>
    </row>
    <row r="18" customFormat="false" ht="15" hidden="false" customHeight="false" outlineLevel="0" collapsed="false">
      <c r="A18" s="3" t="s">
        <v>55</v>
      </c>
      <c r="B18" s="9" t="n">
        <v>-3934184.79</v>
      </c>
    </row>
    <row r="19" customFormat="false" ht="15" hidden="false" customHeight="false" outlineLevel="0" collapsed="false">
      <c r="A19" s="3" t="s">
        <v>56</v>
      </c>
      <c r="B19" s="9" t="n">
        <v>1681.95</v>
      </c>
    </row>
    <row r="20" customFormat="false" ht="15" hidden="false" customHeight="false" outlineLevel="0" collapsed="false">
      <c r="A20" s="3" t="s">
        <v>57</v>
      </c>
      <c r="B20" s="9" t="n">
        <v>-2889.54</v>
      </c>
    </row>
    <row r="21" customFormat="false" ht="15" hidden="false" customHeight="false" outlineLevel="0" collapsed="false">
      <c r="A21" s="3" t="s">
        <v>58</v>
      </c>
      <c r="B21" s="9" t="n">
        <v>-603223.04</v>
      </c>
    </row>
    <row r="22" customFormat="false" ht="15" hidden="false" customHeight="false" outlineLevel="0" collapsed="false">
      <c r="A22" s="3" t="s">
        <v>59</v>
      </c>
      <c r="B22" s="15" t="n">
        <f aca="false">SUM(B17:B21)</f>
        <v>2108781.87</v>
      </c>
    </row>
    <row r="23" customFormat="false" ht="15" hidden="false" customHeight="false" outlineLevel="0" collapsed="false">
      <c r="A23" s="3" t="s">
        <v>60</v>
      </c>
      <c r="B23" s="9" t="n">
        <v>-928.27</v>
      </c>
    </row>
    <row r="24" customFormat="false" ht="15" hidden="false" customHeight="false" outlineLevel="0" collapsed="false">
      <c r="A24" s="3" t="s">
        <v>61</v>
      </c>
      <c r="B24" s="9" t="n">
        <v>5353.25</v>
      </c>
    </row>
    <row r="25" customFormat="false" ht="15" hidden="false" customHeight="false" outlineLevel="0" collapsed="false">
      <c r="A25" s="3"/>
      <c r="B25" s="9" t="n">
        <v>14715.04</v>
      </c>
    </row>
    <row r="26" customFormat="false" ht="15" hidden="false" customHeight="false" outlineLevel="0" collapsed="false">
      <c r="A26" s="3" t="s">
        <v>62</v>
      </c>
      <c r="B26" s="9" t="n">
        <v>1981971.9</v>
      </c>
    </row>
    <row r="27" customFormat="false" ht="15" hidden="false" customHeight="false" outlineLevel="0" collapsed="false">
      <c r="A27" s="3"/>
      <c r="B27" s="9" t="n">
        <v>1241001.84</v>
      </c>
    </row>
    <row r="28" customFormat="false" ht="15" hidden="false" customHeight="false" outlineLevel="0" collapsed="false">
      <c r="A28" s="3" t="s">
        <v>63</v>
      </c>
      <c r="B28" s="15" t="n">
        <f aca="false">B22+B27</f>
        <v>3349783.71</v>
      </c>
    </row>
    <row r="30" customFormat="false" ht="15" hidden="false" customHeight="false" outlineLevel="0" collapsed="false">
      <c r="A30" s="2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6" min="5" style="0" width="12"/>
    <col collapsed="false" customWidth="true" hidden="false" outlineLevel="0" max="8" min="7" style="0" width="16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4" customFormat="false" ht="15" hidden="false" customHeight="false" outlineLevel="0" collapsed="false">
      <c r="A4" s="12" t="s">
        <v>67</v>
      </c>
      <c r="B4" s="16" t="n">
        <v>147.73</v>
      </c>
    </row>
    <row r="5" customFormat="false" ht="15" hidden="false" customHeight="false" outlineLevel="0" collapsed="false">
      <c r="A5" s="3" t="s">
        <v>68</v>
      </c>
      <c r="B5" s="7" t="n">
        <v>6255</v>
      </c>
    </row>
    <row r="7" customFormat="false" ht="26.85" hidden="false" customHeight="false" outlineLevel="0" collapsed="false">
      <c r="A7" s="6" t="s">
        <v>69</v>
      </c>
      <c r="B7" s="6" t="s">
        <v>70</v>
      </c>
      <c r="C7" s="6" t="s">
        <v>71</v>
      </c>
      <c r="D7" s="6" t="s">
        <v>72</v>
      </c>
      <c r="E7" s="6" t="s">
        <v>73</v>
      </c>
      <c r="F7" s="6" t="s">
        <v>74</v>
      </c>
      <c r="G7" s="6" t="s">
        <v>75</v>
      </c>
      <c r="H7" s="6" t="s">
        <v>76</v>
      </c>
      <c r="I7" s="6" t="s">
        <v>77</v>
      </c>
    </row>
    <row r="8" customFormat="false" ht="15" hidden="false" customHeight="false" outlineLevel="0" collapsed="false">
      <c r="A8" s="3" t="s">
        <v>78</v>
      </c>
      <c r="B8" s="3" t="s">
        <v>79</v>
      </c>
      <c r="C8" s="3" t="s">
        <v>80</v>
      </c>
      <c r="D8" s="3" t="s">
        <v>81</v>
      </c>
      <c r="E8" s="8" t="n">
        <v>88.87</v>
      </c>
      <c r="F8" s="7" t="n">
        <v>2265</v>
      </c>
      <c r="G8" s="15" t="n">
        <f aca="false">MAX(0,$B$4-E8)*F8</f>
        <v>133317.9</v>
      </c>
      <c r="H8" s="15" t="n">
        <f aca="false">MAX(0,188.34-E8)*F8</f>
        <v>225299.55</v>
      </c>
      <c r="I8" s="17" t="n">
        <f aca="false">(DATEVALUE("12/05/2028")-DATE(2026,7,31))/365</f>
        <v>2.35068493150685</v>
      </c>
    </row>
    <row r="9" customFormat="false" ht="15" hidden="false" customHeight="false" outlineLevel="0" collapsed="false">
      <c r="A9" s="3" t="s">
        <v>78</v>
      </c>
      <c r="B9" s="3" t="s">
        <v>79</v>
      </c>
      <c r="C9" s="3" t="s">
        <v>80</v>
      </c>
      <c r="D9" s="3" t="s">
        <v>81</v>
      </c>
      <c r="E9" s="8" t="n">
        <v>88.87</v>
      </c>
      <c r="F9" s="7" t="n">
        <v>5625</v>
      </c>
      <c r="G9" s="15" t="n">
        <f aca="false">MAX(0,$B$4-E9)*F9</f>
        <v>331087.5</v>
      </c>
      <c r="H9" s="15" t="n">
        <f aca="false">MAX(0,188.34-E9)*F9</f>
        <v>559518.75</v>
      </c>
      <c r="I9" s="17" t="n">
        <f aca="false">(DATEVALUE("12/05/2028")-DATE(2026,7,31))/365</f>
        <v>2.35068493150685</v>
      </c>
    </row>
    <row r="10" customFormat="false" ht="15" hidden="false" customHeight="false" outlineLevel="0" collapsed="false">
      <c r="A10" s="3" t="s">
        <v>82</v>
      </c>
      <c r="B10" s="3" t="s">
        <v>83</v>
      </c>
      <c r="C10" s="3" t="s">
        <v>84</v>
      </c>
      <c r="D10" s="3" t="s">
        <v>85</v>
      </c>
      <c r="E10" s="8" t="n">
        <v>72.74</v>
      </c>
      <c r="F10" s="7" t="n">
        <v>10356</v>
      </c>
      <c r="G10" s="15" t="n">
        <f aca="false">MAX(0,$B$4-E10)*F10</f>
        <v>776596.44</v>
      </c>
      <c r="H10" s="15" t="n">
        <f aca="false">MAX(0,188.34-E10)*F10</f>
        <v>1197153.6</v>
      </c>
      <c r="I10" s="17" t="n">
        <f aca="false">(DATEVALUE("02/05/2030")-DATE(2026,7,31))/365</f>
        <v>3.52054794520548</v>
      </c>
    </row>
    <row r="11" customFormat="false" ht="15" hidden="false" customHeight="false" outlineLevel="0" collapsed="false">
      <c r="D11" s="12" t="s">
        <v>86</v>
      </c>
      <c r="F11" s="18" t="n">
        <f aca="false">SUM(F8:F10)</f>
        <v>18246</v>
      </c>
      <c r="G11" s="13" t="n">
        <f aca="false">SUM(G8:G10)</f>
        <v>1241001.84</v>
      </c>
      <c r="H11" s="13" t="n">
        <f aca="false">SUM(H8:H10)</f>
        <v>1981971.9</v>
      </c>
    </row>
    <row r="13" customFormat="false" ht="15" hidden="false" customHeight="false" outlineLevel="0" collapsed="false">
      <c r="A13" s="12" t="s">
        <v>87</v>
      </c>
    </row>
    <row r="14" customFormat="false" ht="15" hidden="false" customHeight="false" outlineLevel="0" collapsed="false">
      <c r="A14" s="3" t="s">
        <v>88</v>
      </c>
      <c r="G14" s="15" t="n">
        <f aca="false">B5*B4</f>
        <v>924051.15</v>
      </c>
    </row>
    <row r="15" customFormat="false" ht="15" hidden="false" customHeight="false" outlineLevel="0" collapsed="false">
      <c r="A15" s="3" t="s">
        <v>89</v>
      </c>
      <c r="G15" s="15" t="n">
        <f aca="false">G11</f>
        <v>1241001.84</v>
      </c>
    </row>
    <row r="16" customFormat="false" ht="15" hidden="false" customHeight="false" outlineLevel="0" collapsed="false">
      <c r="A16" s="3" t="s">
        <v>90</v>
      </c>
      <c r="G16" s="13" t="n">
        <f aca="false">G14+G15</f>
        <v>2165052.99</v>
      </c>
    </row>
    <row r="17" customFormat="false" ht="15" hidden="false" customHeight="false" outlineLevel="0" collapsed="false">
      <c r="A17" s="3" t="s">
        <v>91</v>
      </c>
      <c r="G17" s="15" t="n">
        <f aca="false">Holdings!B28</f>
        <v>3349783.71</v>
      </c>
    </row>
    <row r="18" customFormat="false" ht="15" hidden="false" customHeight="false" outlineLevel="0" collapsed="false">
      <c r="A18" s="3" t="s">
        <v>92</v>
      </c>
      <c r="G18" s="14" t="n">
        <f aca="false">G16/G17</f>
        <v>0.64632620414767</v>
      </c>
    </row>
    <row r="19" customFormat="false" ht="15" hidden="false" customHeight="false" outlineLevel="0" collapsed="false">
      <c r="A19" s="3" t="s">
        <v>93</v>
      </c>
      <c r="G19" s="19" t="n">
        <f aca="false">B5+F11</f>
        <v>24501</v>
      </c>
    </row>
    <row r="20" customFormat="false" ht="15" hidden="false" customHeight="false" outlineLevel="0" collapsed="false">
      <c r="A20" s="3" t="s">
        <v>94</v>
      </c>
      <c r="G20" s="15" t="n">
        <f aca="false">G19*B4</f>
        <v>3619532.73</v>
      </c>
    </row>
    <row r="21" customFormat="false" ht="15" hidden="false" customHeight="false" outlineLevel="0" collapsed="false">
      <c r="A21" s="3" t="s">
        <v>95</v>
      </c>
      <c r="G21" s="15" t="n">
        <f aca="false">G19*10</f>
        <v>245010</v>
      </c>
    </row>
    <row r="22" customFormat="false" ht="15" hidden="false" customHeight="false" outlineLevel="0" collapsed="false">
      <c r="A22" s="3" t="s">
        <v>96</v>
      </c>
      <c r="G22" s="15" t="n">
        <f aca="false">H11-G11</f>
        <v>740970.06</v>
      </c>
    </row>
    <row r="24" customFormat="false" ht="15" hidden="false" customHeight="false" outlineLevel="0" collapsed="false">
      <c r="A24" s="3" t="s">
        <v>97</v>
      </c>
      <c r="G24" s="15" t="n">
        <f aca="false">G11*(0.37+0.0235)</f>
        <v>488334.22404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6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4" customFormat="false" ht="15" hidden="false" customHeight="false" outlineLevel="0" collapsed="false">
      <c r="A4" s="3" t="s">
        <v>100</v>
      </c>
      <c r="B4" s="20" t="n">
        <v>700000</v>
      </c>
    </row>
    <row r="5" customFormat="false" ht="15" hidden="false" customHeight="false" outlineLevel="0" collapsed="false">
      <c r="A5" s="3" t="s">
        <v>101</v>
      </c>
      <c r="B5" s="20" t="n">
        <v>20000</v>
      </c>
    </row>
    <row r="6" customFormat="false" ht="15" hidden="false" customHeight="false" outlineLevel="0" collapsed="false">
      <c r="A6" s="3" t="s">
        <v>102</v>
      </c>
      <c r="B6" s="20" t="n">
        <v>49450</v>
      </c>
    </row>
    <row r="7" customFormat="false" ht="15" hidden="false" customHeight="false" outlineLevel="0" collapsed="false">
      <c r="A7" s="3" t="s">
        <v>103</v>
      </c>
      <c r="B7" s="20" t="n">
        <v>545500</v>
      </c>
    </row>
    <row r="8" customFormat="false" ht="15" hidden="false" customHeight="false" outlineLevel="0" collapsed="false">
      <c r="A8" s="3" t="s">
        <v>104</v>
      </c>
      <c r="B8" s="20" t="n">
        <v>200000</v>
      </c>
    </row>
    <row r="9" customFormat="false" ht="15" hidden="false" customHeight="false" outlineLevel="0" collapsed="false">
      <c r="A9" s="3" t="s">
        <v>105</v>
      </c>
      <c r="B9" s="21" t="n">
        <v>0.038</v>
      </c>
    </row>
    <row r="10" customFormat="false" ht="15" hidden="false" customHeight="false" outlineLevel="0" collapsed="false">
      <c r="A10" s="3" t="s">
        <v>106</v>
      </c>
      <c r="B10" s="20" t="n">
        <v>278000</v>
      </c>
    </row>
    <row r="11" customFormat="false" ht="15" hidden="false" customHeight="false" outlineLevel="0" collapsed="false">
      <c r="A11" s="3" t="s">
        <v>107</v>
      </c>
      <c r="B11" s="21" t="n">
        <v>0.07</v>
      </c>
    </row>
    <row r="12" customFormat="false" ht="15" hidden="false" customHeight="false" outlineLevel="0" collapsed="false">
      <c r="A12" s="3" t="s">
        <v>108</v>
      </c>
      <c r="B12" s="21" t="n">
        <v>0.099</v>
      </c>
    </row>
    <row r="14" customFormat="false" ht="15" hidden="false" customHeight="false" outlineLevel="0" collapsed="false">
      <c r="A14" s="6" t="s">
        <v>109</v>
      </c>
      <c r="B14" s="6" t="s">
        <v>110</v>
      </c>
      <c r="C14" s="6" t="s">
        <v>111</v>
      </c>
      <c r="D14" s="6" t="s">
        <v>112</v>
      </c>
      <c r="E14" s="6" t="s">
        <v>113</v>
      </c>
      <c r="F14" s="6" t="s">
        <v>114</v>
      </c>
      <c r="G14" s="6" t="s">
        <v>115</v>
      </c>
      <c r="H14" s="6" t="s">
        <v>116</v>
      </c>
      <c r="I14" s="6" t="s">
        <v>117</v>
      </c>
    </row>
    <row r="15" customFormat="false" ht="15" hidden="false" customHeight="false" outlineLevel="0" collapsed="false">
      <c r="A15" s="3" t="s">
        <v>118</v>
      </c>
      <c r="B15" s="4" t="n">
        <f aca="false">Holdings!H5</f>
        <v>969288.4</v>
      </c>
      <c r="C15" s="22" t="n">
        <f aca="false">B4</f>
        <v>700000</v>
      </c>
      <c r="D15" s="22" t="n">
        <f aca="false">MAX(0,MIN(C15+B15,$B$7)-MAX(C15,$B$6))*0.15+MAX(0,C15+B15-MAX(C15,$B$7))*0.2</f>
        <v>193857.68</v>
      </c>
      <c r="E15" s="22" t="n">
        <f aca="false">$B$9*MAX(0,MIN(B15,C15+B15-$B$8))</f>
        <v>36832.9592</v>
      </c>
      <c r="F15" s="22" t="n">
        <f aca="false">MIN(MAX(0,B15-$B$10),1000000)*$B$11+MAX(0,B15-$B$10-1000000)*$B$12</f>
        <v>48390.188</v>
      </c>
      <c r="G15" s="23" t="n">
        <f aca="false">D15+E15+F15</f>
        <v>279080.8272</v>
      </c>
      <c r="H15" s="10" t="n">
        <f aca="false">G15/B15</f>
        <v>0.287923415982281</v>
      </c>
      <c r="I15" s="22" t="n">
        <f aca="false">B15-G15</f>
        <v>690207.5728</v>
      </c>
    </row>
    <row r="16" customFormat="false" ht="15" hidden="false" customHeight="false" outlineLevel="0" collapsed="false">
      <c r="A16" s="3" t="s">
        <v>119</v>
      </c>
      <c r="B16" s="4" t="n">
        <f aca="false">Holdings!H6</f>
        <v>456879.36</v>
      </c>
      <c r="C16" s="22" t="n">
        <f aca="false">B4</f>
        <v>700000</v>
      </c>
      <c r="D16" s="22" t="n">
        <f aca="false">MAX(0,MIN(C16+B16,$B$7)-MAX(C16,$B$6))*0.15+MAX(0,C16+B16-MAX(C16,$B$7))*0.2</f>
        <v>91375.872</v>
      </c>
      <c r="E16" s="22" t="n">
        <f aca="false">$B$9*MAX(0,MIN(B16,C16+B16-$B$8))</f>
        <v>17361.41568</v>
      </c>
      <c r="F16" s="22" t="n">
        <f aca="false">MIN(MAX(0,B16-$B$10),1000000)*$B$11+MAX(0,B16-$B$10-1000000)*$B$12</f>
        <v>12521.5552</v>
      </c>
      <c r="G16" s="23" t="n">
        <f aca="false">D16+E16+F16</f>
        <v>121258.84288</v>
      </c>
      <c r="H16" s="10" t="n">
        <f aca="false">G16/B16</f>
        <v>0.265406699221431</v>
      </c>
      <c r="I16" s="22" t="n">
        <f aca="false">B16-G16</f>
        <v>335620.51712</v>
      </c>
    </row>
    <row r="17" customFormat="false" ht="15" hidden="false" customHeight="false" outlineLevel="0" collapsed="false">
      <c r="A17" s="3" t="s">
        <v>120</v>
      </c>
      <c r="B17" s="4" t="n">
        <f aca="false">Holdings!H9</f>
        <v>1426167.76</v>
      </c>
      <c r="C17" s="22" t="n">
        <f aca="false">B4</f>
        <v>700000</v>
      </c>
      <c r="D17" s="22" t="n">
        <f aca="false">MAX(0,MIN(C17+B17,$B$7)-MAX(C17,$B$6))*0.15+MAX(0,C17+B17-MAX(C17,$B$7))*0.2</f>
        <v>285233.552</v>
      </c>
      <c r="E17" s="22" t="n">
        <f aca="false">$B$9*MAX(0,MIN(B17,C17+B17-$B$8))</f>
        <v>54194.37488</v>
      </c>
      <c r="F17" s="22" t="n">
        <f aca="false">MIN(MAX(0,B17-$B$10),1000000)*$B$11+MAX(0,B17-$B$10-1000000)*$B$12</f>
        <v>84668.60824</v>
      </c>
      <c r="G17" s="23" t="n">
        <f aca="false">D17+E17+F17</f>
        <v>424096.53512</v>
      </c>
      <c r="H17" s="10" t="n">
        <f aca="false">G17/B17</f>
        <v>0.297367916324234</v>
      </c>
      <c r="I17" s="22" t="n">
        <f aca="false">B17-G17</f>
        <v>1002071.22488</v>
      </c>
    </row>
    <row r="18" customFormat="false" ht="15" hidden="false" customHeight="false" outlineLevel="0" collapsed="false">
      <c r="A18" s="3" t="s">
        <v>121</v>
      </c>
      <c r="B18" s="22" t="n">
        <f aca="false">B10</f>
        <v>278000</v>
      </c>
      <c r="C18" s="22" t="n">
        <f aca="false">B5</f>
        <v>20000</v>
      </c>
      <c r="D18" s="22" t="n">
        <f aca="false">MAX(0,MIN(C18+B18,$B$7)-MAX(C18,$B$6))*0.15+MAX(0,C18+B18-MAX(C18,$B$7))*0.2</f>
        <v>37282.5</v>
      </c>
      <c r="E18" s="22" t="n">
        <f aca="false">$B$9*MAX(0,MIN(B18,C18+B18-$B$8))</f>
        <v>3724</v>
      </c>
      <c r="F18" s="22" t="n">
        <f aca="false">MIN(MAX(0,B18-$B$10),1000000)*$B$11+MAX(0,B18-$B$10-1000000)*$B$12</f>
        <v>0</v>
      </c>
      <c r="G18" s="23" t="n">
        <f aca="false">D18+E18+F18</f>
        <v>41006.5</v>
      </c>
      <c r="H18" s="10" t="n">
        <f aca="false">G18/B18</f>
        <v>0.147505395683453</v>
      </c>
      <c r="I18" s="22" t="n">
        <f aca="false">B18-G18</f>
        <v>236993.5</v>
      </c>
    </row>
    <row r="19" customFormat="false" ht="15" hidden="false" customHeight="false" outlineLevel="0" collapsed="false">
      <c r="A19" s="3" t="s">
        <v>122</v>
      </c>
      <c r="B19" s="24" t="n">
        <v>400000</v>
      </c>
      <c r="C19" s="22" t="n">
        <f aca="false">B5</f>
        <v>20000</v>
      </c>
      <c r="D19" s="22" t="n">
        <f aca="false">MAX(0,MIN(C19+B19,$B$7)-MAX(C19,$B$6))*0.15+MAX(0,C19+B19-MAX(C19,$B$7))*0.2</f>
        <v>55582.5</v>
      </c>
      <c r="E19" s="22" t="n">
        <f aca="false">$B$9*MAX(0,MIN(B19,C19+B19-$B$8))</f>
        <v>8360</v>
      </c>
      <c r="F19" s="22" t="n">
        <f aca="false">MIN(MAX(0,B19-$B$10),1000000)*$B$11+MAX(0,B19-$B$10-1000000)*$B$12</f>
        <v>8540</v>
      </c>
      <c r="G19" s="23" t="n">
        <f aca="false">D19+E19+F19</f>
        <v>72482.5</v>
      </c>
      <c r="H19" s="10" t="n">
        <f aca="false">G19/B19</f>
        <v>0.18120625</v>
      </c>
      <c r="I19" s="22" t="n">
        <f aca="false">B19-G19</f>
        <v>327517.5</v>
      </c>
    </row>
    <row r="20" customFormat="false" ht="15" hidden="false" customHeight="false" outlineLevel="0" collapsed="false">
      <c r="A20" s="3" t="s">
        <v>123</v>
      </c>
      <c r="B20" s="22" t="n">
        <f aca="false">B7</f>
        <v>545500</v>
      </c>
      <c r="C20" s="22" t="n">
        <f aca="false">B5</f>
        <v>20000</v>
      </c>
      <c r="D20" s="22" t="n">
        <f aca="false">MAX(0,MIN(C20+B20,$B$7)-MAX(C20,$B$6))*0.15+MAX(0,C20+B20-MAX(C20,$B$7))*0.2</f>
        <v>78407.5</v>
      </c>
      <c r="E20" s="22" t="n">
        <f aca="false">$B$9*MAX(0,MIN(B20,C20+B20-$B$8))</f>
        <v>13889</v>
      </c>
      <c r="F20" s="22" t="n">
        <f aca="false">MIN(MAX(0,B20-$B$10),1000000)*$B$11+MAX(0,B20-$B$10-1000000)*$B$12</f>
        <v>18725</v>
      </c>
      <c r="G20" s="23" t="n">
        <f aca="false">D20+E20+F20</f>
        <v>111021.5</v>
      </c>
      <c r="H20" s="10" t="n">
        <f aca="false">G20/B20</f>
        <v>0.203522456461962</v>
      </c>
      <c r="I20" s="22" t="n">
        <f aca="false">B20-G20</f>
        <v>434478.5</v>
      </c>
    </row>
    <row r="22" customFormat="false" ht="15" hidden="false" customHeight="false" outlineLevel="0" collapsed="false">
      <c r="A22" s="2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0" min="2" style="0" width="16"/>
  </cols>
  <sheetData>
    <row r="1" customFormat="false" ht="17.3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2" t="s">
        <v>126</v>
      </c>
    </row>
    <row r="4" customFormat="false" ht="15" hidden="false" customHeight="false" outlineLevel="0" collapsed="false">
      <c r="A4" s="3" t="s">
        <v>127</v>
      </c>
      <c r="B4" s="20" t="n">
        <v>278000</v>
      </c>
    </row>
    <row r="5" customFormat="false" ht="15" hidden="false" customHeight="false" outlineLevel="0" collapsed="false">
      <c r="A5" s="3" t="s">
        <v>128</v>
      </c>
      <c r="B5" s="10" t="n">
        <f aca="false">Holdings!I6</f>
        <v>0.494430811541114</v>
      </c>
    </row>
    <row r="6" customFormat="false" ht="15" hidden="false" customHeight="false" outlineLevel="0" collapsed="false">
      <c r="A6" s="3" t="s">
        <v>129</v>
      </c>
      <c r="B6" s="10" t="n">
        <f aca="false">Holdings!I5</f>
        <v>0.8436346684819</v>
      </c>
    </row>
    <row r="7" customFormat="false" ht="15" hidden="false" customHeight="false" outlineLevel="0" collapsed="false">
      <c r="A7" s="3" t="s">
        <v>130</v>
      </c>
      <c r="B7" s="10" t="n">
        <f aca="false">'Tax scenarios'!H18</f>
        <v>0.147505395683453</v>
      </c>
    </row>
    <row r="9" customFormat="false" ht="26.85" hidden="false" customHeight="false" outlineLevel="0" collapsed="false">
      <c r="A9" s="6" t="s">
        <v>131</v>
      </c>
      <c r="B9" s="6" t="s">
        <v>132</v>
      </c>
      <c r="C9" s="6" t="s">
        <v>133</v>
      </c>
      <c r="D9" s="6" t="s">
        <v>134</v>
      </c>
      <c r="E9" s="6" t="s">
        <v>135</v>
      </c>
      <c r="F9" s="6" t="s">
        <v>110</v>
      </c>
      <c r="G9" s="6" t="s">
        <v>136</v>
      </c>
      <c r="H9" s="6" t="s">
        <v>137</v>
      </c>
      <c r="I9" s="6" t="s">
        <v>138</v>
      </c>
      <c r="J9" s="6" t="s">
        <v>139</v>
      </c>
    </row>
    <row r="10" customFormat="false" ht="15" hidden="false" customHeight="false" outlineLevel="0" collapsed="false">
      <c r="A10" s="3" t="s">
        <v>140</v>
      </c>
      <c r="B10" s="15" t="n">
        <f aca="false">Holdings!E6</f>
        <v>924051.15</v>
      </c>
      <c r="C10" s="15" t="n">
        <f aca="false">Holdings!E5</f>
        <v>1148943.3</v>
      </c>
      <c r="D10" s="15" t="n">
        <f aca="false">MIN(B10,$B$4/$B$5)</f>
        <v>562262.693810462</v>
      </c>
      <c r="E10" s="15" t="n">
        <f aca="false">MIN(C10,MAX(0,$B$4-D10*$B$5)/$B$6)</f>
        <v>0</v>
      </c>
      <c r="F10" s="15" t="n">
        <f aca="false">D10*$B$5+E10*$B$6</f>
        <v>278000</v>
      </c>
      <c r="G10" s="15" t="n">
        <f aca="false">F10*$B$7</f>
        <v>41006.5</v>
      </c>
      <c r="H10" s="15" t="n">
        <f aca="false">D10+E10-G10</f>
        <v>521256.193810462</v>
      </c>
      <c r="I10" s="15" t="n">
        <f aca="false">B10-D10</f>
        <v>361788.456189538</v>
      </c>
      <c r="J10" s="15" t="n">
        <f aca="false">C10-E10</f>
        <v>1148943.3</v>
      </c>
    </row>
    <row r="11" customFormat="false" ht="15" hidden="false" customHeight="false" outlineLevel="0" collapsed="false">
      <c r="A11" s="3" t="s">
        <v>141</v>
      </c>
      <c r="B11" s="15" t="n">
        <f aca="false">I10</f>
        <v>361788.456189538</v>
      </c>
      <c r="C11" s="15" t="n">
        <f aca="false">J10</f>
        <v>1148943.3</v>
      </c>
      <c r="D11" s="15" t="n">
        <f aca="false">MIN(B11,$B$4/$B$5)</f>
        <v>361788.456189538</v>
      </c>
      <c r="E11" s="15" t="n">
        <f aca="false">MIN(C11,MAX(0,$B$4-D11*$B$5)/$B$6)</f>
        <v>117492.374013464</v>
      </c>
      <c r="F11" s="15" t="n">
        <f aca="false">D11*$B$5+E11*$B$6</f>
        <v>278000</v>
      </c>
      <c r="G11" s="15" t="n">
        <f aca="false">F11*$B$7</f>
        <v>41006.5</v>
      </c>
      <c r="H11" s="15" t="n">
        <f aca="false">D11+E11-G11</f>
        <v>438274.330203002</v>
      </c>
      <c r="I11" s="15" t="n">
        <f aca="false">B11-D11</f>
        <v>0</v>
      </c>
      <c r="J11" s="15" t="n">
        <f aca="false">C11-E11</f>
        <v>1031450.92598654</v>
      </c>
    </row>
    <row r="12" customFormat="false" ht="15" hidden="false" customHeight="false" outlineLevel="0" collapsed="false">
      <c r="A12" s="3" t="s">
        <v>142</v>
      </c>
      <c r="B12" s="15" t="n">
        <f aca="false">I11</f>
        <v>0</v>
      </c>
      <c r="C12" s="15" t="n">
        <f aca="false">J11</f>
        <v>1031450.92598654</v>
      </c>
      <c r="D12" s="15" t="n">
        <f aca="false">MIN(B12,$B$4/$B$5)</f>
        <v>0</v>
      </c>
      <c r="E12" s="15" t="n">
        <f aca="false">MIN(C12,MAX(0,$B$4-D12*$B$5)/$B$6)</f>
        <v>329526.52420064</v>
      </c>
      <c r="F12" s="15" t="n">
        <f aca="false">D12*$B$5+E12*$B$6</f>
        <v>278000</v>
      </c>
      <c r="G12" s="15" t="n">
        <f aca="false">F12*$B$7</f>
        <v>41006.5</v>
      </c>
      <c r="H12" s="15" t="n">
        <f aca="false">D12+E12-G12</f>
        <v>288520.02420064</v>
      </c>
      <c r="I12" s="15" t="n">
        <f aca="false">B12-D12</f>
        <v>0</v>
      </c>
      <c r="J12" s="15" t="n">
        <f aca="false">C12-E12</f>
        <v>701924.401785896</v>
      </c>
    </row>
    <row r="13" customFormat="false" ht="15" hidden="false" customHeight="false" outlineLevel="0" collapsed="false">
      <c r="A13" s="3" t="s">
        <v>143</v>
      </c>
      <c r="B13" s="15" t="n">
        <f aca="false">I12</f>
        <v>0</v>
      </c>
      <c r="C13" s="15" t="n">
        <f aca="false">J12</f>
        <v>701924.401785896</v>
      </c>
      <c r="D13" s="15" t="n">
        <f aca="false">MIN(B13,$B$4/$B$5)</f>
        <v>0</v>
      </c>
      <c r="E13" s="15" t="n">
        <f aca="false">MIN(C13,MAX(0,$B$4-D13*$B$5)/$B$6)</f>
        <v>329526.52420064</v>
      </c>
      <c r="F13" s="15" t="n">
        <f aca="false">D13*$B$5+E13*$B$6</f>
        <v>278000</v>
      </c>
      <c r="G13" s="15" t="n">
        <f aca="false">F13*$B$7</f>
        <v>41006.5</v>
      </c>
      <c r="H13" s="15" t="n">
        <f aca="false">D13+E13-G13</f>
        <v>288520.02420064</v>
      </c>
      <c r="I13" s="15" t="n">
        <f aca="false">B13-D13</f>
        <v>0</v>
      </c>
      <c r="J13" s="15" t="n">
        <f aca="false">C13-E13</f>
        <v>372397.877585255</v>
      </c>
    </row>
    <row r="14" customFormat="false" ht="15" hidden="false" customHeight="false" outlineLevel="0" collapsed="false">
      <c r="A14" s="3" t="s">
        <v>144</v>
      </c>
      <c r="B14" s="15" t="n">
        <f aca="false">I13</f>
        <v>0</v>
      </c>
      <c r="C14" s="15" t="n">
        <f aca="false">J13</f>
        <v>372397.877585255</v>
      </c>
      <c r="D14" s="15" t="n">
        <f aca="false">MIN(B14,$B$4/$B$5)</f>
        <v>0</v>
      </c>
      <c r="E14" s="15" t="n">
        <f aca="false">MIN(C14,MAX(0,$B$4-D14*$B$5)/$B$6)</f>
        <v>329526.52420064</v>
      </c>
      <c r="F14" s="15" t="n">
        <f aca="false">D14*$B$5+E14*$B$6</f>
        <v>278000</v>
      </c>
      <c r="G14" s="15" t="n">
        <f aca="false">F14*$B$7</f>
        <v>41006.5</v>
      </c>
      <c r="H14" s="15" t="n">
        <f aca="false">D14+E14-G14</f>
        <v>288520.02420064</v>
      </c>
      <c r="I14" s="15" t="n">
        <f aca="false">B14-D14</f>
        <v>0</v>
      </c>
      <c r="J14" s="15" t="n">
        <f aca="false">C14-E14</f>
        <v>42871.3533846149</v>
      </c>
    </row>
    <row r="15" customFormat="false" ht="15" hidden="false" customHeight="false" outlineLevel="0" collapsed="false">
      <c r="A15" s="3" t="s">
        <v>145</v>
      </c>
      <c r="B15" s="15" t="n">
        <f aca="false">I14</f>
        <v>0</v>
      </c>
      <c r="C15" s="15" t="n">
        <f aca="false">J14</f>
        <v>42871.3533846149</v>
      </c>
      <c r="D15" s="15" t="n">
        <f aca="false">MIN(B15,$B$4/$B$5)</f>
        <v>0</v>
      </c>
      <c r="E15" s="15" t="n">
        <f aca="false">MIN(C15,MAX(0,$B$4-D15*$B$5)/$B$6)</f>
        <v>42871.3533846149</v>
      </c>
      <c r="F15" s="15" t="n">
        <f aca="false">D15*$B$5+E15*$B$6</f>
        <v>36167.76</v>
      </c>
      <c r="G15" s="15" t="n">
        <f aca="false">F15*$B$7</f>
        <v>5334.93974978417</v>
      </c>
      <c r="H15" s="15" t="n">
        <f aca="false">D15+E15-G15</f>
        <v>37536.4136348308</v>
      </c>
      <c r="I15" s="15" t="n">
        <f aca="false">B15-D15</f>
        <v>0</v>
      </c>
      <c r="J15" s="15" t="n">
        <f aca="false">C15-E15</f>
        <v>0</v>
      </c>
    </row>
    <row r="17" customFormat="false" ht="15" hidden="false" customHeight="false" outlineLevel="0" collapsed="false">
      <c r="A17" s="12" t="s">
        <v>146</v>
      </c>
      <c r="D17" s="13" t="n">
        <f aca="false">SUM(D10:D15)</f>
        <v>924051.15</v>
      </c>
      <c r="E17" s="13" t="n">
        <f aca="false">SUM(E10:E15)</f>
        <v>1148943.3</v>
      </c>
      <c r="F17" s="13" t="n">
        <f aca="false">SUM(F10:F15)</f>
        <v>1426167.76</v>
      </c>
      <c r="G17" s="13" t="n">
        <f aca="false">SUM(G10:G15)</f>
        <v>210367.439749784</v>
      </c>
      <c r="H17" s="13" t="n">
        <f aca="false">SUM(H10:H15)</f>
        <v>1862627.01025022</v>
      </c>
    </row>
    <row r="19" customFormat="false" ht="15" hidden="false" customHeight="false" outlineLevel="0" collapsed="false">
      <c r="A19" s="3" t="s">
        <v>147</v>
      </c>
      <c r="G19" s="15" t="n">
        <f aca="false">'Tax scenarios'!G17</f>
        <v>424096.53512</v>
      </c>
    </row>
    <row r="20" customFormat="false" ht="15" hidden="false" customHeight="false" outlineLevel="0" collapsed="false">
      <c r="A20" s="3" t="s">
        <v>148</v>
      </c>
      <c r="G20" s="13" t="n">
        <f aca="false">G19-G17</f>
        <v>213729.095370216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30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149</v>
      </c>
    </row>
    <row r="2" customFormat="false" ht="15" hidden="false" customHeight="false" outlineLevel="0" collapsed="false">
      <c r="A2" s="2" t="s">
        <v>150</v>
      </c>
    </row>
    <row r="4" customFormat="false" ht="15" hidden="false" customHeight="false" outlineLevel="0" collapsed="false">
      <c r="A4" s="3" t="s">
        <v>151</v>
      </c>
      <c r="B4" s="9" t="n">
        <v>28479.6</v>
      </c>
    </row>
    <row r="5" customFormat="false" ht="15" hidden="false" customHeight="false" outlineLevel="0" collapsed="false">
      <c r="A5" s="3" t="s">
        <v>152</v>
      </c>
      <c r="B5" s="9" t="n">
        <v>28333</v>
      </c>
    </row>
    <row r="6" customFormat="false" ht="15" hidden="false" customHeight="false" outlineLevel="0" collapsed="false">
      <c r="A6" s="3" t="s">
        <v>153</v>
      </c>
      <c r="B6" s="9" t="n">
        <v>238.37</v>
      </c>
    </row>
    <row r="7" customFormat="false" ht="15" hidden="false" customHeight="false" outlineLevel="0" collapsed="false">
      <c r="A7" s="3" t="s">
        <v>154</v>
      </c>
      <c r="B7" s="15" t="n">
        <f aca="false">B4+B6</f>
        <v>28717.97</v>
      </c>
    </row>
    <row r="8" customFormat="false" ht="15" hidden="false" customHeight="false" outlineLevel="0" collapsed="false">
      <c r="A8" s="3" t="s">
        <v>155</v>
      </c>
      <c r="B8" s="9" t="n">
        <v>1051.6</v>
      </c>
    </row>
    <row r="9" customFormat="false" ht="15" hidden="false" customHeight="false" outlineLevel="0" collapsed="false">
      <c r="A9" s="3" t="s">
        <v>156</v>
      </c>
      <c r="B9" s="9" t="n">
        <v>28717.97</v>
      </c>
    </row>
    <row r="11" customFormat="false" ht="15" hidden="false" customHeight="false" outlineLevel="0" collapsed="false">
      <c r="A11" s="12" t="s">
        <v>157</v>
      </c>
    </row>
    <row r="12" customFormat="false" ht="15" hidden="false" customHeight="false" outlineLevel="0" collapsed="false">
      <c r="A12" s="6" t="s">
        <v>158</v>
      </c>
      <c r="B12" s="6" t="s">
        <v>72</v>
      </c>
      <c r="C12" s="6"/>
      <c r="D12" s="6" t="s">
        <v>159</v>
      </c>
      <c r="E12" s="6" t="s">
        <v>160</v>
      </c>
    </row>
    <row r="13" customFormat="false" ht="15" hidden="false" customHeight="false" outlineLevel="0" collapsed="false">
      <c r="A13" s="3" t="s">
        <v>161</v>
      </c>
      <c r="B13" s="3" t="s">
        <v>162</v>
      </c>
      <c r="D13" s="3" t="s">
        <v>163</v>
      </c>
      <c r="E13" s="9" t="n">
        <v>-947.21</v>
      </c>
    </row>
    <row r="14" customFormat="false" ht="15" hidden="false" customHeight="false" outlineLevel="0" collapsed="false">
      <c r="A14" s="3" t="s">
        <v>164</v>
      </c>
      <c r="B14" s="3" t="s">
        <v>165</v>
      </c>
      <c r="D14" s="3" t="s">
        <v>166</v>
      </c>
      <c r="E14" s="9" t="n">
        <v>3940.65</v>
      </c>
    </row>
    <row r="15" customFormat="false" ht="15" hidden="false" customHeight="false" outlineLevel="0" collapsed="false">
      <c r="A15" s="3" t="s">
        <v>164</v>
      </c>
      <c r="B15" s="3" t="s">
        <v>167</v>
      </c>
      <c r="D15" s="3" t="s">
        <v>168</v>
      </c>
      <c r="E15" s="9" t="n">
        <v>18.94</v>
      </c>
    </row>
    <row r="16" customFormat="false" ht="15" hidden="false" customHeight="false" outlineLevel="0" collapsed="false">
      <c r="A16" s="3" t="s">
        <v>169</v>
      </c>
      <c r="B16" s="3" t="s">
        <v>165</v>
      </c>
      <c r="D16" s="3" t="s">
        <v>170</v>
      </c>
      <c r="E16" s="9" t="n">
        <v>1358.53</v>
      </c>
    </row>
    <row r="17" customFormat="false" ht="15" hidden="false" customHeight="false" outlineLevel="0" collapsed="false">
      <c r="A17" s="3" t="s">
        <v>171</v>
      </c>
      <c r="B17" s="3" t="s">
        <v>172</v>
      </c>
      <c r="D17" s="3" t="s">
        <v>173</v>
      </c>
      <c r="E17" s="9" t="n">
        <v>54.07</v>
      </c>
    </row>
    <row r="18" customFormat="false" ht="15" hidden="false" customHeight="false" outlineLevel="0" collapsed="false">
      <c r="D18" s="12" t="s">
        <v>174</v>
      </c>
      <c r="E18" s="13" t="n">
        <f aca="false">SUM(E13:E17)</f>
        <v>4424.98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175</v>
      </c>
    </row>
    <row r="2" customFormat="false" ht="15" hidden="false" customHeight="false" outlineLevel="0" collapsed="false">
      <c r="A2" s="2" t="s">
        <v>176</v>
      </c>
    </row>
    <row r="4" customFormat="false" ht="15" hidden="false" customHeight="false" outlineLevel="0" collapsed="false">
      <c r="A4" s="3" t="s">
        <v>177</v>
      </c>
      <c r="B4" s="21" t="n">
        <v>0.002</v>
      </c>
    </row>
    <row r="5" customFormat="false" ht="15" hidden="false" customHeight="false" outlineLevel="0" collapsed="false">
      <c r="A5" s="3" t="s">
        <v>178</v>
      </c>
      <c r="B5" s="15" t="n">
        <f aca="false">B4*Holdings!E5</f>
        <v>2297.8866</v>
      </c>
    </row>
    <row r="6" customFormat="false" ht="15" hidden="false" customHeight="false" outlineLevel="0" collapsed="false">
      <c r="A6" s="3" t="s">
        <v>179</v>
      </c>
      <c r="B6" s="11" t="n">
        <v>0.0182</v>
      </c>
    </row>
    <row r="7" customFormat="false" ht="15" hidden="false" customHeight="false" outlineLevel="0" collapsed="false">
      <c r="A7" s="3" t="s">
        <v>180</v>
      </c>
      <c r="B7" s="15" t="n">
        <f aca="false">B6*Holdings!E7</f>
        <v>651.331044</v>
      </c>
    </row>
    <row r="8" customFormat="false" ht="15" hidden="false" customHeight="false" outlineLevel="0" collapsed="false">
      <c r="A8" s="3" t="s">
        <v>181</v>
      </c>
      <c r="B8" s="21" t="n">
        <v>0.04</v>
      </c>
    </row>
    <row r="9" customFormat="false" ht="15" hidden="false" customHeight="false" outlineLevel="0" collapsed="false">
      <c r="A9" s="3" t="s">
        <v>182</v>
      </c>
      <c r="B9" s="15" t="n">
        <f aca="false">(B8-B6)*Holdings!E7</f>
        <v>780.165756</v>
      </c>
    </row>
    <row r="10" customFormat="false" ht="15" hidden="false" customHeight="false" outlineLevel="0" collapsed="false">
      <c r="A10" s="3" t="s">
        <v>183</v>
      </c>
      <c r="B10" s="15" t="n">
        <f aca="false">Holdings!J9</f>
        <v>20829.95</v>
      </c>
    </row>
    <row r="11" customFormat="false" ht="15" hidden="false" customHeight="false" outlineLevel="0" collapsed="false">
      <c r="A11" s="3" t="s">
        <v>184</v>
      </c>
      <c r="B11" s="25" t="n">
        <f aca="false">B10/Holdings!E9</f>
        <v>0.00987771675028674</v>
      </c>
    </row>
    <row r="12" customFormat="false" ht="15" hidden="false" customHeight="false" outlineLevel="0" collapsed="false">
      <c r="A12" s="3" t="s">
        <v>185</v>
      </c>
      <c r="B12" s="9" t="n">
        <v>0</v>
      </c>
    </row>
    <row r="13" customFormat="false" ht="15" hidden="false" customHeight="false" outlineLevel="0" collapsed="false">
      <c r="A13" s="3" t="s">
        <v>186</v>
      </c>
      <c r="B13" s="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2026-09-14T06:57:47Z</dcterms:created>
  <dc:creator>openpyxl</dc:creator>
  <dc:description/>
  <dc:language>en-US</dc:language>
  <cp:lastModifiedBy/>
  <dcterms:modified xsi:type="dcterms:W3CDTF">2026-09-14T06:57:47Z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