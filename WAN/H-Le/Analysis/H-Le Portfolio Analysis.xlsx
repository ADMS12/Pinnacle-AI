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ows &amp; Returns" sheetId="1" state="visible" r:id="rId3"/>
    <sheet name="Allocation &amp; Holdings" sheetId="2" state="visible" r:id="rId4"/>
    <sheet name="Value Over Time" sheetId="3" state="visible" r:id="rId5"/>
    <sheet name="Notes &amp; Ga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<sst xmlns="http://schemas.openxmlformats.org/spreadsheetml/2006/main" count="127" uniqueCount="92">
  <si>
    <t xml:space="preserve">Huong T Le — Merrill IRAs: cash flows, gains and returns (statements of August 31, 2026)</t>
  </si>
  <si>
    <t xml:space="preserve">Source: photographed pages 1–4 of the August 2026 Merrill statements. Blue = figures read from the statements; black = formulas. YTD = Jan 1 – Aug 31, 2026 (8 months). YTD beginning value is derived (closing − YTD income + YTD fees − YTD market gains) and agrees with the $0.985M Dec-25 point on the statement's value chart.</t>
  </si>
  <si>
    <t xml:space="preserve">Account</t>
  </si>
  <si>
    <t xml:space="preserve">Period</t>
  </si>
  <si>
    <t xml:space="preserve">Months</t>
  </si>
  <si>
    <t xml:space="preserve">Beginning value</t>
  </si>
  <si>
    <t xml:space="preserve">Dividends / interest</t>
  </si>
  <si>
    <t xml:space="preserve">Advisory fees</t>
  </si>
  <si>
    <t xml:space="preserve">Market gains / (losses)</t>
  </si>
  <si>
    <t xml:space="preserve">Ending value</t>
  </si>
  <si>
    <t xml:space="preserve">Check (0)</t>
  </si>
  <si>
    <t xml:space="preserve">Investment gain</t>
  </si>
  <si>
    <t xml:space="preserve">Gross return (Mod. Dietz)</t>
  </si>
  <si>
    <t xml:space="preserve">Net return after fees</t>
  </si>
  <si>
    <t xml:space="preserve">Annualized gross</t>
  </si>
  <si>
    <t xml:space="preserve">Annualized net</t>
  </si>
  <si>
    <t xml:space="preserve">Fee rate (annualized, on avg value)</t>
  </si>
  <si>
    <t xml:space="preserve">Est. annual income</t>
  </si>
  <si>
    <t xml:space="preserve">Income yield on ending value</t>
  </si>
  <si>
    <t xml:space="preserve">Rollover IRA (8SQ-17562)</t>
  </si>
  <si>
    <t xml:space="preserve">Aug 2026</t>
  </si>
  <si>
    <t xml:space="preserve">2026 YTD</t>
  </si>
  <si>
    <t xml:space="preserve">Roth IRA (7G1-16132)</t>
  </si>
  <si>
    <t xml:space="preserve">BOTH ACCOUNTS</t>
  </si>
  <si>
    <t xml:space="preserve">Benchmarks printed on the statement (price index levels)</t>
  </si>
  <si>
    <t xml:space="preserve">Index</t>
  </si>
  <si>
    <t xml:space="preserve">Aug 31, 2026</t>
  </si>
  <si>
    <t xml:space="preserve">Jul 31, 2026</t>
  </si>
  <si>
    <t xml:space="preserve">Dec 31, 2025</t>
  </si>
  <si>
    <t xml:space="preserve">August change</t>
  </si>
  <si>
    <t xml:space="preserve">YTD change</t>
  </si>
  <si>
    <t xml:space="preserve">S&amp;P 500</t>
  </si>
  <si>
    <t xml:space="preserve">NASDAQ</t>
  </si>
  <si>
    <t xml:space="preserve">Index levels exclude dividends (price return only); the S&amp;P 500 total return would be roughly 1 point higher over 8 months.</t>
  </si>
  <si>
    <t xml:space="preserve">Trading activity (from Cash Flow / Other Transactions)</t>
  </si>
  <si>
    <t xml:space="preserve">Purchases Aug</t>
  </si>
  <si>
    <t xml:space="preserve">Sales Aug</t>
  </si>
  <si>
    <t xml:space="preserve">Purchases YTD</t>
  </si>
  <si>
    <t xml:space="preserve">Sales YTD</t>
  </si>
  <si>
    <t xml:space="preserve">Turnover YTD (lesser of buys/sells ÷ avg value)</t>
  </si>
  <si>
    <t xml:space="preserve">Opening cash Aug 1</t>
  </si>
  <si>
    <t xml:space="preserve">Closing cash Aug 31</t>
  </si>
  <si>
    <t xml:space="preserve">Commissions YTD</t>
  </si>
  <si>
    <t xml:space="preserve">Asset allocation and top-five holdings — August 31, 2026</t>
  </si>
  <si>
    <t xml:space="preserve">Only the statement summary pages were available; the full holdings schedule (pages 5+) was not photographed, so positions beyond the top five and per-position cost/gain are not shown.</t>
  </si>
  <si>
    <t xml:space="preserve">Asset class</t>
  </si>
  <si>
    <t xml:space="preserve">Value</t>
  </si>
  <si>
    <t xml:space="preserve">% of account</t>
  </si>
  <si>
    <t xml:space="preserve">Statement %</t>
  </si>
  <si>
    <t xml:space="preserve">Equities</t>
  </si>
  <si>
    <t xml:space="preserve">Fixed Income</t>
  </si>
  <si>
    <t xml:space="preserve">Cash/Money Accounts</t>
  </si>
  <si>
    <t xml:space="preserve">Total</t>
  </si>
  <si>
    <t xml:space="preserve">Top-five holding (as printed)</t>
  </si>
  <si>
    <t xml:space="preserve">Vanguard Morningstar (fund 1)</t>
  </si>
  <si>
    <t xml:space="preserve">Vanguard Morningstar (fund 2)</t>
  </si>
  <si>
    <t xml:space="preserve">Fidelity Advisors FOC</t>
  </si>
  <si>
    <t xml:space="preserve">John Hancock Disciplined</t>
  </si>
  <si>
    <t xml:space="preserve">JP Morgan Large Cap</t>
  </si>
  <si>
    <t xml:space="preserve">Top five subtotal</t>
  </si>
  <si>
    <t xml:space="preserve">All other holdings (not itemized on the pages provided)</t>
  </si>
  <si>
    <t xml:space="preserve">iShares Core S&amp;P U.S. ETF</t>
  </si>
  <si>
    <t xml:space="preserve">iShares Core S&amp;P 500 ETF</t>
  </si>
  <si>
    <t xml:space="preserve">Vanguard FTSE Developed Markets</t>
  </si>
  <si>
    <t xml:space="preserve">Vanguard FTSE Emerging Markets</t>
  </si>
  <si>
    <t xml:space="preserve">Vanguard Russell 2000</t>
  </si>
  <si>
    <t xml:space="preserve">Combined allocation</t>
  </si>
  <si>
    <t xml:space="preserve">% of total</t>
  </si>
  <si>
    <t xml:space="preserve">Rollover IRA — month-end total value, from the statement's value chart (in $ millions, as printed)</t>
  </si>
  <si>
    <t xml:space="preserve">Month-end</t>
  </si>
  <si>
    <t xml:space="preserve">Value ($M, as printed)</t>
  </si>
  <si>
    <t xml:space="preserve">Value ($)</t>
  </si>
  <si>
    <t xml:space="preserve">Change vs prior month</t>
  </si>
  <si>
    <t xml:space="preserve">11/25</t>
  </si>
  <si>
    <t xml:space="preserve">12/25</t>
  </si>
  <si>
    <t xml:space="preserve">1/26</t>
  </si>
  <si>
    <t xml:space="preserve">2/26</t>
  </si>
  <si>
    <t xml:space="preserve">3/26</t>
  </si>
  <si>
    <t xml:space="preserve">4/26</t>
  </si>
  <si>
    <t xml:space="preserve">5/26</t>
  </si>
  <si>
    <t xml:space="preserve">6/26</t>
  </si>
  <si>
    <t xml:space="preserve">7/26</t>
  </si>
  <si>
    <t xml:space="preserve">8/26</t>
  </si>
  <si>
    <t xml:space="preserve">Exact values: Jul 31, 2026 = $1,094,337.35; Aug 31, 2026 = $1,120,020.79 (Portfolio Summary). Chart values are rounded to 3 significant figures by Merrill. Roth IRA: Jul 31 $29,233.20, Aug 31 $29,936.91; derived Jan 1 $26,454.98.</t>
  </si>
  <si>
    <t xml:space="preserve">What was analyzed and what is missing</t>
  </si>
  <si>
    <t xml:space="preserve">• Folder C:\WAN\H-Le contains seven phone photos: pages 1–4 of the Rollover IRA statement (8SQ-17562, 13 pages) and pages 2–4 of the Roth IRA statement (7G1-16132, 12 pages), both for August 1–31, 2026, Merrill Guided Investing with Advisor.</t>
  </si>
  <si>
    <t xml:space="preserve">• Both are IRAs (Rollover and Roth) for Huong T Le. No taxable accounts are included.</t>
  </si>
  <si>
    <t xml:space="preserve">• Available: portfolio summary, cash flow, YTD credits/debits/market gains, asset allocation, top-five holdings, income, and the Rollover IRA's 10-month value chart.</t>
  </si>
  <si>
    <t xml:space="preserve">• Not available (pages not photographed): the full holdings schedule with quantities, prices, cost basis and unrealized gain per fund; the transaction detail (which funds were bought/sold in the $154k/$143k YTD rebalancing); realized gain/loss; and any prior-year statement. Per-position performance and full diversification therefore cannot be broken out — only the top five holdings and the equity/bond/cash split.</t>
  </si>
  <si>
    <t xml:space="preserve">• To complete the analysis to the same depth as the L-Le review, add the remaining pages (5–13 and 5–12) and the December 2025 statements — PDFs downloaded from merrilledge.com are ideal.</t>
  </si>
  <si>
    <t xml:space="preserve">• Returns are Modified-Dietz approximations (fees at mid-period). YTD beginning values are derived from the YTD columns; Merrill's own performance report would be the authoritative figure.</t>
  </si>
  <si>
    <t xml:space="preserve">• 'Cash/Money Accounts' in the asset-allocation box ($11,279 / $422) is larger than the Cash Flow closing cash ($5,699 / $270) because the allocation figure looks through to cash held inside the mutual funds.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</si>
</sst>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0%;\(0.00%\);\-"/>
    <numFmt numFmtId="167" formatCode="#,##0.00"/>
    <numFmt numFmtId="168" formatCode="0.000"/>
    <numFmt numFmtId="169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5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4" min="11" style="0" width="12"/>
    <col collapsed="false" customWidth="true" hidden="false" outlineLevel="0" max="16" min="15" style="0" width="13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4" t="s">
        <v>19</v>
      </c>
      <c r="B5" s="4" t="s">
        <v>20</v>
      </c>
      <c r="C5" s="5" t="n">
        <v>1</v>
      </c>
      <c r="D5" s="6" t="n">
        <v>1094337.35</v>
      </c>
      <c r="E5" s="6" t="n">
        <v>184.83</v>
      </c>
      <c r="F5" s="6" t="n">
        <v>625.06</v>
      </c>
      <c r="G5" s="6" t="n">
        <v>26123.67</v>
      </c>
      <c r="H5" s="6" t="n">
        <v>1120020.79</v>
      </c>
      <c r="I5" s="7" t="n">
        <f aca="false">D5+E5-F5+G5-H5</f>
        <v>0</v>
      </c>
      <c r="J5" s="7" t="n">
        <f aca="false">E5+G5</f>
        <v>26308.5</v>
      </c>
      <c r="K5" s="8" t="n">
        <f aca="false">J5/(D5-0.5*F5)</f>
        <v>0.0240474434574528</v>
      </c>
      <c r="L5" s="8" t="n">
        <f aca="false">(J5-F5)/D5</f>
        <v>0.0234693990842952</v>
      </c>
      <c r="M5" s="8" t="n">
        <f aca="false">(1+K5)^(12/C5)-1</f>
        <v>0.329967205679153</v>
      </c>
      <c r="N5" s="8" t="n">
        <f aca="false">(1+L5)^(12/C5)-1</f>
        <v>0.320986397548672</v>
      </c>
      <c r="O5" s="8" t="n">
        <f aca="false">F5*(12/C5)/((D5+H5)/2)</f>
        <v>0.00677462228399964</v>
      </c>
      <c r="P5" s="6" t="n">
        <v>14048.52</v>
      </c>
      <c r="Q5" s="8" t="n">
        <f aca="false">P5/H5</f>
        <v>0.0125430885974893</v>
      </c>
    </row>
    <row r="6" customFormat="false" ht="15" hidden="false" customHeight="false" outlineLevel="0" collapsed="false">
      <c r="A6" s="4" t="s">
        <v>19</v>
      </c>
      <c r="B6" s="4" t="s">
        <v>21</v>
      </c>
      <c r="C6" s="5" t="n">
        <v>8</v>
      </c>
      <c r="D6" s="7" t="n">
        <f aca="false">H6-E6+F6-G6</f>
        <v>984890.85</v>
      </c>
      <c r="E6" s="6" t="n">
        <v>4933.34</v>
      </c>
      <c r="F6" s="6" t="n">
        <v>4764.45</v>
      </c>
      <c r="G6" s="6" t="n">
        <v>134961.05</v>
      </c>
      <c r="H6" s="6" t="n">
        <v>1120020.79</v>
      </c>
      <c r="I6" s="7" t="n">
        <f aca="false">D6+E6-F6+G6-H6</f>
        <v>0</v>
      </c>
      <c r="J6" s="7" t="n">
        <f aca="false">E6+G6</f>
        <v>139894.39</v>
      </c>
      <c r="K6" s="8" t="n">
        <f aca="false">J6/(D6-0.5*F6)</f>
        <v>0.142384897638939</v>
      </c>
      <c r="L6" s="8" t="n">
        <f aca="false">(J6-F6)/D6</f>
        <v>0.137202960104665</v>
      </c>
      <c r="M6" s="8" t="n">
        <f aca="false">(1+K6)^(12/C6)-1</f>
        <v>0.221008478487781</v>
      </c>
      <c r="N6" s="8" t="n">
        <f aca="false">(1+L6)^(12/C6)-1</f>
        <v>0.212710037524082</v>
      </c>
      <c r="O6" s="8" t="n">
        <f aca="false">F6*(12/C6)/((D6+H6)/2)</f>
        <v>0.00679047506241165</v>
      </c>
      <c r="P6" s="6" t="n">
        <v>14048.52</v>
      </c>
      <c r="Q6" s="8" t="n">
        <f aca="false">P6/H6</f>
        <v>0.0125430885974893</v>
      </c>
    </row>
    <row r="7" customFormat="false" ht="15" hidden="false" customHeight="false" outlineLevel="0" collapsed="false">
      <c r="A7" s="4" t="s">
        <v>22</v>
      </c>
      <c r="B7" s="4" t="s">
        <v>20</v>
      </c>
      <c r="C7" s="5" t="n">
        <v>1</v>
      </c>
      <c r="D7" s="6" t="n">
        <v>29233.2</v>
      </c>
      <c r="E7" s="6" t="n">
        <v>5.17</v>
      </c>
      <c r="F7" s="6" t="n">
        <v>17.06</v>
      </c>
      <c r="G7" s="6" t="n">
        <v>715.6</v>
      </c>
      <c r="H7" s="6" t="n">
        <v>29936.91</v>
      </c>
      <c r="I7" s="7" t="n">
        <f aca="false">D7+E7-F7+G7-H7</f>
        <v>0</v>
      </c>
      <c r="J7" s="7" t="n">
        <f aca="false">E7+G7</f>
        <v>720.77</v>
      </c>
      <c r="K7" s="8" t="n">
        <f aca="false">J7/(D7-0.5*F7)</f>
        <v>0.0246630671963105</v>
      </c>
      <c r="L7" s="8" t="n">
        <f aca="false">(J7-F7)/D7</f>
        <v>0.0240722876729198</v>
      </c>
      <c r="M7" s="8" t="n">
        <f aca="false">(1+K7)^(12/C7)-1</f>
        <v>0.339593384426194</v>
      </c>
      <c r="N7" s="8" t="n">
        <f aca="false">(1+L7)^(12/C7)-1</f>
        <v>0.330354450250628</v>
      </c>
      <c r="O7" s="8" t="n">
        <f aca="false">F7*(12/C7)/((D7+H7)/2)</f>
        <v>0.00691970996842832</v>
      </c>
      <c r="P7" s="6" t="n">
        <v>472.49</v>
      </c>
      <c r="Q7" s="8" t="n">
        <f aca="false">P7/H7</f>
        <v>0.0157828580170766</v>
      </c>
    </row>
    <row r="8" customFormat="false" ht="15" hidden="false" customHeight="false" outlineLevel="0" collapsed="false">
      <c r="A8" s="4" t="s">
        <v>22</v>
      </c>
      <c r="B8" s="4" t="s">
        <v>21</v>
      </c>
      <c r="C8" s="5" t="n">
        <v>8</v>
      </c>
      <c r="D8" s="7" t="n">
        <f aca="false">H8-E8+F8-G8</f>
        <v>26454.98</v>
      </c>
      <c r="E8" s="6" t="n">
        <v>168.05</v>
      </c>
      <c r="F8" s="6" t="n">
        <v>130.46</v>
      </c>
      <c r="G8" s="6" t="n">
        <v>3444.34</v>
      </c>
      <c r="H8" s="6" t="n">
        <v>29936.91</v>
      </c>
      <c r="I8" s="7" t="n">
        <f aca="false">D8+E8-F8+G8-H8</f>
        <v>0</v>
      </c>
      <c r="J8" s="7" t="n">
        <f aca="false">E8+G8</f>
        <v>3612.39</v>
      </c>
      <c r="K8" s="8" t="n">
        <f aca="false">J8/(D8-0.5*F8)</f>
        <v>0.136886101611421</v>
      </c>
      <c r="L8" s="8" t="n">
        <f aca="false">(J8-F8)/D8</f>
        <v>0.131617185119777</v>
      </c>
      <c r="M8" s="8" t="n">
        <f aca="false">(1+K8)^(12/C8)-1</f>
        <v>0.212203227322537</v>
      </c>
      <c r="N8" s="8" t="n">
        <f aca="false">(1+L8)^(12/C8)-1</f>
        <v>0.203786036259383</v>
      </c>
      <c r="O8" s="8" t="n">
        <f aca="false">F8*(12/C8)/((D8+H8)/2)</f>
        <v>0.00694035968647265</v>
      </c>
      <c r="P8" s="6" t="n">
        <v>472.49</v>
      </c>
      <c r="Q8" s="8" t="n">
        <f aca="false">P8/H8</f>
        <v>0.0157828580170766</v>
      </c>
    </row>
    <row r="9" customFormat="false" ht="15" hidden="false" customHeight="false" outlineLevel="0" collapsed="false">
      <c r="A9" s="9" t="s">
        <v>23</v>
      </c>
      <c r="B9" s="9" t="s">
        <v>20</v>
      </c>
      <c r="C9" s="10" t="n">
        <v>1</v>
      </c>
      <c r="D9" s="11" t="n">
        <f aca="false">SUMIF($B$5:$B$8,"Aug 2026",D5:D8)</f>
        <v>1123570.55</v>
      </c>
      <c r="E9" s="11" t="n">
        <f aca="false">SUMIF($B$5:$B$8,"Aug 2026",E5:E8)</f>
        <v>190</v>
      </c>
      <c r="F9" s="11" t="n">
        <f aca="false">SUMIF($B$5:$B$8,"Aug 2026",F5:F8)</f>
        <v>642.12</v>
      </c>
      <c r="G9" s="11" t="n">
        <f aca="false">SUMIF($B$5:$B$8,"Aug 2026",G5:G8)</f>
        <v>26839.27</v>
      </c>
      <c r="H9" s="11" t="n">
        <f aca="false">SUMIF($B$5:$B$8,"Aug 2026",H5:H8)</f>
        <v>1149957.7</v>
      </c>
      <c r="I9" s="11" t="n">
        <f aca="false">D9+E9-F9+G9-H9</f>
        <v>0</v>
      </c>
      <c r="J9" s="11" t="n">
        <f aca="false">E9+G9</f>
        <v>27029.27</v>
      </c>
      <c r="K9" s="12" t="n">
        <f aca="false">J9/(D9-0.5*F9)</f>
        <v>0.0240634607365813</v>
      </c>
      <c r="L9" s="12" t="n">
        <f aca="false">(J9-F9)/D9</f>
        <v>0.023485085115483</v>
      </c>
      <c r="M9" s="12" t="n">
        <f aca="false">(1+K9)^(12/C9)-1</f>
        <v>0.330216853744994</v>
      </c>
      <c r="N9" s="12" t="n">
        <f aca="false">(1+L9)^(12/C9)-1</f>
        <v>0.321229368532827</v>
      </c>
      <c r="O9" s="12" t="n">
        <f aca="false">F9*(12/C9)/((D9+H9)/2)</f>
        <v>0.00677839828909098</v>
      </c>
      <c r="P9" s="11" t="n">
        <f aca="false">SUMIF($B$5:$B$8,"Aug 2026",P5:P8)</f>
        <v>14521.01</v>
      </c>
      <c r="Q9" s="12" t="n">
        <f aca="false">P9/H9</f>
        <v>0.0126274296871963</v>
      </c>
    </row>
    <row r="10" customFormat="false" ht="15" hidden="false" customHeight="false" outlineLevel="0" collapsed="false">
      <c r="A10" s="9" t="s">
        <v>23</v>
      </c>
      <c r="B10" s="9" t="s">
        <v>21</v>
      </c>
      <c r="C10" s="10" t="n">
        <v>8</v>
      </c>
      <c r="D10" s="11" t="n">
        <f aca="false">SUMIF($B$5:$B$8,"2026 YTD",D5:D8)</f>
        <v>1011345.83</v>
      </c>
      <c r="E10" s="11" t="n">
        <f aca="false">SUMIF($B$5:$B$8,"2026 YTD",E5:E8)</f>
        <v>5101.39</v>
      </c>
      <c r="F10" s="11" t="n">
        <f aca="false">SUMIF($B$5:$B$8,"2026 YTD",F5:F8)</f>
        <v>4894.91</v>
      </c>
      <c r="G10" s="11" t="n">
        <f aca="false">SUMIF($B$5:$B$8,"2026 YTD",G5:G8)</f>
        <v>138405.39</v>
      </c>
      <c r="H10" s="11" t="n">
        <f aca="false">SUMIF($B$5:$B$8,"2026 YTD",H5:H8)</f>
        <v>1149957.7</v>
      </c>
      <c r="I10" s="11" t="n">
        <f aca="false">D10+E10-F10+G10-H10</f>
        <v>0</v>
      </c>
      <c r="J10" s="11" t="n">
        <f aca="false">E10+G10</f>
        <v>143506.78</v>
      </c>
      <c r="K10" s="12" t="n">
        <f aca="false">J10/(D10-0.5*F10)</f>
        <v>0.142241065657381</v>
      </c>
      <c r="L10" s="12" t="n">
        <f aca="false">(J10-F10)/D10</f>
        <v>0.137056846321302</v>
      </c>
      <c r="M10" s="12" t="n">
        <f aca="false">(1+K10)^(12/C10)-1</f>
        <v>0.220777889119855</v>
      </c>
      <c r="N10" s="12" t="n">
        <f aca="false">(1+L10)^(12/C10)-1</f>
        <v>0.212476322040425</v>
      </c>
      <c r="O10" s="12" t="n">
        <f aca="false">F10*(12/C10)/((D10+H10)/2)</f>
        <v>0.00679438579365111</v>
      </c>
      <c r="P10" s="11" t="n">
        <f aca="false">SUMIF($B$5:$B$8,"2026 YTD",P5:P8)</f>
        <v>14521.01</v>
      </c>
      <c r="Q10" s="12" t="n">
        <f aca="false">P10/H10</f>
        <v>0.0126274296871963</v>
      </c>
    </row>
    <row r="12" customFormat="false" ht="15" hidden="false" customHeight="false" outlineLevel="0" collapsed="false">
      <c r="A12" s="13" t="s">
        <v>24</v>
      </c>
    </row>
    <row r="13" customFormat="false" ht="30" hidden="false" customHeight="true" outlineLevel="0" collapsed="false">
      <c r="A13" s="3" t="s">
        <v>25</v>
      </c>
      <c r="B13" s="3" t="s">
        <v>26</v>
      </c>
      <c r="C13" s="3" t="s">
        <v>27</v>
      </c>
      <c r="D13" s="3" t="s">
        <v>28</v>
      </c>
      <c r="E13" s="3" t="s">
        <v>29</v>
      </c>
      <c r="F13" s="3" t="s">
        <v>30</v>
      </c>
    </row>
    <row r="14" customFormat="false" ht="15" hidden="false" customHeight="false" outlineLevel="0" collapsed="false">
      <c r="A14" s="4" t="s">
        <v>31</v>
      </c>
      <c r="B14" s="14" t="n">
        <v>7686.14</v>
      </c>
      <c r="C14" s="14" t="n">
        <v>7489.72</v>
      </c>
      <c r="D14" s="14" t="n">
        <v>6845.5</v>
      </c>
      <c r="E14" s="8" t="n">
        <f aca="false">B14/C14-1</f>
        <v>0.0262252794496991</v>
      </c>
      <c r="F14" s="8" t="n">
        <f aca="false">B14/D14-1</f>
        <v>0.122801840625228</v>
      </c>
    </row>
    <row r="15" customFormat="false" ht="15" hidden="false" customHeight="false" outlineLevel="0" collapsed="false">
      <c r="A15" s="4" t="s">
        <v>32</v>
      </c>
      <c r="B15" s="14" t="n">
        <v>26370.89</v>
      </c>
      <c r="C15" s="14" t="n">
        <v>25373.85</v>
      </c>
      <c r="D15" s="14" t="n">
        <v>23241.99</v>
      </c>
      <c r="E15" s="8" t="n">
        <f aca="false">B15/C15-1</f>
        <v>0.0392939975604807</v>
      </c>
      <c r="F15" s="8" t="n">
        <f aca="false">B15/D15-1</f>
        <v>0.1346227237857</v>
      </c>
    </row>
    <row r="16" customFormat="false" ht="15" hidden="false" customHeight="false" outlineLevel="0" collapsed="false">
      <c r="A16" s="2" t="s">
        <v>33</v>
      </c>
    </row>
    <row r="18" customFormat="false" ht="15" hidden="false" customHeight="false" outlineLevel="0" collapsed="false">
      <c r="A18" s="13" t="s">
        <v>34</v>
      </c>
    </row>
    <row r="19" customFormat="false" ht="30" hidden="false" customHeight="true" outlineLevel="0" collapsed="false">
      <c r="A19" s="3" t="s">
        <v>2</v>
      </c>
      <c r="B19" s="3" t="s">
        <v>35</v>
      </c>
      <c r="C19" s="3" t="s">
        <v>36</v>
      </c>
      <c r="D19" s="3" t="s">
        <v>37</v>
      </c>
      <c r="E19" s="3" t="s">
        <v>38</v>
      </c>
      <c r="F19" s="3" t="s">
        <v>39</v>
      </c>
      <c r="G19" s="3" t="s">
        <v>40</v>
      </c>
      <c r="H19" s="3" t="s">
        <v>41</v>
      </c>
      <c r="I19" s="3" t="s">
        <v>42</v>
      </c>
    </row>
    <row r="20" customFormat="false" ht="15" hidden="false" customHeight="false" outlineLevel="0" collapsed="false">
      <c r="A20" s="4" t="s">
        <v>19</v>
      </c>
      <c r="B20" s="6" t="n">
        <v>20269.53</v>
      </c>
      <c r="C20" s="6" t="n">
        <v>21811.39</v>
      </c>
      <c r="D20" s="6" t="n">
        <v>154432.14</v>
      </c>
      <c r="E20" s="6" t="n">
        <v>143140.03</v>
      </c>
      <c r="F20" s="8" t="n">
        <f aca="false">MIN(D20,E20)/((D6+H6)/2)</f>
        <v>0.136005737513998</v>
      </c>
      <c r="G20" s="6" t="n">
        <v>4597.49</v>
      </c>
      <c r="H20" s="6" t="n">
        <v>5699.12</v>
      </c>
      <c r="I20" s="6" t="n">
        <v>0.18</v>
      </c>
    </row>
    <row r="21" customFormat="false" ht="15" hidden="false" customHeight="false" outlineLevel="0" collapsed="false">
      <c r="A21" s="4" t="s">
        <v>22</v>
      </c>
      <c r="B21" s="6" t="n">
        <v>260.91</v>
      </c>
      <c r="C21" s="6" t="n">
        <v>193.06</v>
      </c>
      <c r="D21" s="6" t="n">
        <v>2216.51</v>
      </c>
      <c r="E21" s="6" t="n">
        <v>2042.41</v>
      </c>
      <c r="F21" s="8" t="n">
        <f aca="false">MIN(D21,E21)/((D8+H8)/2)</f>
        <v>0.0724363024541295</v>
      </c>
      <c r="G21" s="6" t="n">
        <v>349.42</v>
      </c>
      <c r="H21" s="6" t="n">
        <v>269.68</v>
      </c>
      <c r="I21" s="6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4" min="3" style="0" width="13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13" t="s">
        <v>19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  <c r="D5" s="3" t="s">
        <v>48</v>
      </c>
    </row>
    <row r="6" customFormat="false" ht="15" hidden="false" customHeight="false" outlineLevel="0" collapsed="false">
      <c r="A6" s="4" t="s">
        <v>49</v>
      </c>
      <c r="B6" s="6" t="n">
        <v>1064201.21</v>
      </c>
      <c r="C6" s="8" t="n">
        <f aca="false">B6/$B$9</f>
        <v>0.950162014403322</v>
      </c>
      <c r="D6" s="15" t="n">
        <v>0.9501</v>
      </c>
    </row>
    <row r="7" customFormat="false" ht="15" hidden="false" customHeight="false" outlineLevel="0" collapsed="false">
      <c r="A7" s="4" t="s">
        <v>50</v>
      </c>
      <c r="B7" s="6" t="n">
        <v>44540.46</v>
      </c>
      <c r="C7" s="8" t="n">
        <f aca="false">B7/$B$9</f>
        <v>0.0397675296723733</v>
      </c>
      <c r="D7" s="15" t="n">
        <v>0.0398</v>
      </c>
    </row>
    <row r="8" customFormat="false" ht="15" hidden="false" customHeight="false" outlineLevel="0" collapsed="false">
      <c r="A8" s="4" t="s">
        <v>51</v>
      </c>
      <c r="B8" s="6" t="n">
        <v>11279.12</v>
      </c>
      <c r="C8" s="8" t="n">
        <f aca="false">B8/$B$9</f>
        <v>0.0100704559243048</v>
      </c>
      <c r="D8" s="15" t="n">
        <v>0.0101</v>
      </c>
    </row>
    <row r="9" customFormat="false" ht="15" hidden="false" customHeight="false" outlineLevel="0" collapsed="false">
      <c r="A9" s="13" t="s">
        <v>52</v>
      </c>
      <c r="B9" s="16" t="n">
        <f aca="false">SUM(B6:B8)</f>
        <v>1120020.79</v>
      </c>
      <c r="C9" s="17" t="n">
        <f aca="false">SUM(C6:C8)</f>
        <v>1</v>
      </c>
    </row>
    <row r="11" customFormat="false" ht="30" hidden="false" customHeight="true" outlineLevel="0" collapsed="false">
      <c r="A11" s="3" t="s">
        <v>53</v>
      </c>
      <c r="B11" s="3" t="s">
        <v>46</v>
      </c>
      <c r="C11" s="3" t="s">
        <v>47</v>
      </c>
      <c r="D11" s="3" t="s">
        <v>48</v>
      </c>
    </row>
    <row r="12" customFormat="false" ht="15" hidden="false" customHeight="false" outlineLevel="0" collapsed="false">
      <c r="A12" s="4" t="s">
        <v>54</v>
      </c>
      <c r="B12" s="6" t="n">
        <v>289162.48</v>
      </c>
      <c r="C12" s="8" t="n">
        <f aca="false">B12/1120020.79</f>
        <v>0.25817599332241</v>
      </c>
      <c r="D12" s="15" t="n">
        <v>0.2581</v>
      </c>
    </row>
    <row r="13" customFormat="false" ht="15" hidden="false" customHeight="false" outlineLevel="0" collapsed="false">
      <c r="A13" s="4" t="s">
        <v>55</v>
      </c>
      <c r="B13" s="6" t="n">
        <v>222826.35</v>
      </c>
      <c r="C13" s="8" t="n">
        <f aca="false">B13/1120020.79</f>
        <v>0.198948405234514</v>
      </c>
      <c r="D13" s="15" t="n">
        <v>0.1989</v>
      </c>
    </row>
    <row r="14" customFormat="false" ht="15" hidden="false" customHeight="false" outlineLevel="0" collapsed="false">
      <c r="A14" s="4" t="s">
        <v>56</v>
      </c>
      <c r="B14" s="6" t="n">
        <v>124375.14</v>
      </c>
      <c r="C14" s="8" t="n">
        <f aca="false">B14/1120020.79</f>
        <v>0.111047170829749</v>
      </c>
      <c r="D14" s="15" t="n">
        <v>0.111</v>
      </c>
    </row>
    <row r="15" customFormat="false" ht="15" hidden="false" customHeight="false" outlineLevel="0" collapsed="false">
      <c r="A15" s="4" t="s">
        <v>57</v>
      </c>
      <c r="B15" s="6" t="n">
        <v>99274.24</v>
      </c>
      <c r="C15" s="8" t="n">
        <f aca="false">B15/1120020.79</f>
        <v>0.0886360689786839</v>
      </c>
      <c r="D15" s="15" t="n">
        <v>0.0886</v>
      </c>
    </row>
    <row r="16" customFormat="false" ht="15" hidden="false" customHeight="false" outlineLevel="0" collapsed="false">
      <c r="A16" s="4" t="s">
        <v>58</v>
      </c>
      <c r="B16" s="6" t="n">
        <v>71806.02</v>
      </c>
      <c r="C16" s="8" t="n">
        <f aca="false">B16/1120020.79</f>
        <v>0.0641113277906208</v>
      </c>
      <c r="D16" s="15" t="n">
        <v>0.0641</v>
      </c>
    </row>
    <row r="17" customFormat="false" ht="15" hidden="false" customHeight="false" outlineLevel="0" collapsed="false">
      <c r="A17" s="13" t="s">
        <v>59</v>
      </c>
      <c r="B17" s="16" t="n">
        <f aca="false">SUM(B12:B16)</f>
        <v>807444.23</v>
      </c>
      <c r="C17" s="17" t="n">
        <f aca="false">SUM(C12:C16)</f>
        <v>0.720918966155977</v>
      </c>
    </row>
    <row r="18" customFormat="false" ht="15" hidden="false" customHeight="false" outlineLevel="0" collapsed="false">
      <c r="A18" s="4" t="s">
        <v>60</v>
      </c>
      <c r="B18" s="7" t="n">
        <f aca="false">1120020.79-B17</f>
        <v>312576.56</v>
      </c>
      <c r="C18" s="8" t="n">
        <f aca="false">B18/1120020.79</f>
        <v>0.279081033844024</v>
      </c>
    </row>
    <row r="21" customFormat="false" ht="15" hidden="false" customHeight="false" outlineLevel="0" collapsed="false">
      <c r="A21" s="13" t="s">
        <v>22</v>
      </c>
    </row>
    <row r="22" customFormat="false" ht="30" hidden="false" customHeight="true" outlineLevel="0" collapsed="false">
      <c r="A22" s="3" t="s">
        <v>45</v>
      </c>
      <c r="B22" s="3" t="s">
        <v>46</v>
      </c>
      <c r="C22" s="3" t="s">
        <v>47</v>
      </c>
      <c r="D22" s="3" t="s">
        <v>48</v>
      </c>
    </row>
    <row r="23" customFormat="false" ht="15" hidden="false" customHeight="false" outlineLevel="0" collapsed="false">
      <c r="A23" s="4" t="s">
        <v>49</v>
      </c>
      <c r="B23" s="6" t="n">
        <v>28368.75</v>
      </c>
      <c r="C23" s="8" t="n">
        <f aca="false">B23/$B$26</f>
        <v>0.947617840318189</v>
      </c>
      <c r="D23" s="15" t="n">
        <v>0.9476</v>
      </c>
    </row>
    <row r="24" customFormat="false" ht="15" hidden="false" customHeight="false" outlineLevel="0" collapsed="false">
      <c r="A24" s="4" t="s">
        <v>50</v>
      </c>
      <c r="B24" s="6" t="n">
        <v>1146.48</v>
      </c>
      <c r="C24" s="8" t="n">
        <f aca="false">B24/$B$26</f>
        <v>0.0382965376186119</v>
      </c>
      <c r="D24" s="15" t="n">
        <v>0.0383</v>
      </c>
    </row>
    <row r="25" customFormat="false" ht="15" hidden="false" customHeight="false" outlineLevel="0" collapsed="false">
      <c r="A25" s="4" t="s">
        <v>51</v>
      </c>
      <c r="B25" s="6" t="n">
        <v>421.68</v>
      </c>
      <c r="C25" s="8" t="n">
        <f aca="false">B25/$B$26</f>
        <v>0.0140856220631989</v>
      </c>
      <c r="D25" s="15" t="n">
        <v>0.0141</v>
      </c>
    </row>
    <row r="26" customFormat="false" ht="15" hidden="false" customHeight="false" outlineLevel="0" collapsed="false">
      <c r="A26" s="13" t="s">
        <v>52</v>
      </c>
      <c r="B26" s="16" t="n">
        <f aca="false">SUM(B23:B25)</f>
        <v>29936.91</v>
      </c>
      <c r="C26" s="17" t="n">
        <f aca="false">SUM(C23:C25)</f>
        <v>1</v>
      </c>
    </row>
    <row r="28" customFormat="false" ht="30" hidden="false" customHeight="true" outlineLevel="0" collapsed="false">
      <c r="A28" s="3" t="s">
        <v>53</v>
      </c>
      <c r="B28" s="3" t="s">
        <v>46</v>
      </c>
      <c r="C28" s="3" t="s">
        <v>47</v>
      </c>
      <c r="D28" s="3" t="s">
        <v>48</v>
      </c>
    </row>
    <row r="29" customFormat="false" ht="15" hidden="false" customHeight="false" outlineLevel="0" collapsed="false">
      <c r="A29" s="4" t="s">
        <v>61</v>
      </c>
      <c r="B29" s="6" t="n">
        <v>9530.5</v>
      </c>
      <c r="C29" s="8" t="n">
        <f aca="false">B29/29936.91</f>
        <v>0.318352829333422</v>
      </c>
      <c r="D29" s="15" t="n">
        <v>0.3183</v>
      </c>
    </row>
    <row r="30" customFormat="false" ht="15" hidden="false" customHeight="false" outlineLevel="0" collapsed="false">
      <c r="A30" s="4" t="s">
        <v>62</v>
      </c>
      <c r="B30" s="6" t="n">
        <v>9497.69</v>
      </c>
      <c r="C30" s="8" t="n">
        <f aca="false">B30/29936.91</f>
        <v>0.317256857838702</v>
      </c>
      <c r="D30" s="15" t="n">
        <v>0.3172</v>
      </c>
    </row>
    <row r="31" customFormat="false" ht="15" hidden="false" customHeight="false" outlineLevel="0" collapsed="false">
      <c r="A31" s="4" t="s">
        <v>63</v>
      </c>
      <c r="B31" s="6" t="n">
        <v>4229.36</v>
      </c>
      <c r="C31" s="8" t="n">
        <f aca="false">B31/29936.91</f>
        <v>0.141275769610157</v>
      </c>
      <c r="D31" s="15" t="n">
        <v>0.1412</v>
      </c>
    </row>
    <row r="32" customFormat="false" ht="15" hidden="false" customHeight="false" outlineLevel="0" collapsed="false">
      <c r="A32" s="4" t="s">
        <v>64</v>
      </c>
      <c r="B32" s="6" t="n">
        <v>3328.6</v>
      </c>
      <c r="C32" s="8" t="n">
        <f aca="false">B32/29936.91</f>
        <v>0.111187159930668</v>
      </c>
      <c r="D32" s="15" t="n">
        <v>0.1111</v>
      </c>
    </row>
    <row r="33" customFormat="false" ht="15" hidden="false" customHeight="false" outlineLevel="0" collapsed="false">
      <c r="A33" s="4" t="s">
        <v>65</v>
      </c>
      <c r="B33" s="6" t="n">
        <v>1782.6</v>
      </c>
      <c r="C33" s="8" t="n">
        <f aca="false">B33/29936.91</f>
        <v>0.0595452236052418</v>
      </c>
      <c r="D33" s="15" t="n">
        <v>0.0595</v>
      </c>
    </row>
    <row r="34" customFormat="false" ht="15" hidden="false" customHeight="false" outlineLevel="0" collapsed="false">
      <c r="A34" s="13" t="s">
        <v>59</v>
      </c>
      <c r="B34" s="16" t="n">
        <f aca="false">SUM(B29:B33)</f>
        <v>28368.75</v>
      </c>
      <c r="C34" s="17" t="n">
        <f aca="false">SUM(C29:C33)</f>
        <v>0.947617840318189</v>
      </c>
    </row>
    <row r="35" customFormat="false" ht="15" hidden="false" customHeight="false" outlineLevel="0" collapsed="false">
      <c r="A35" s="4" t="s">
        <v>60</v>
      </c>
      <c r="B35" s="7" t="n">
        <f aca="false">29936.91-B34</f>
        <v>1568.16</v>
      </c>
      <c r="C35" s="8" t="n">
        <f aca="false">B35/29936.91</f>
        <v>0.0523821596818108</v>
      </c>
    </row>
    <row r="38" customFormat="false" ht="15" hidden="false" customHeight="false" outlineLevel="0" collapsed="false">
      <c r="A38" s="13" t="s">
        <v>66</v>
      </c>
    </row>
    <row r="39" customFormat="false" ht="30" hidden="false" customHeight="true" outlineLevel="0" collapsed="false">
      <c r="A39" s="3" t="s">
        <v>45</v>
      </c>
      <c r="B39" s="3" t="s">
        <v>46</v>
      </c>
      <c r="C39" s="3" t="s">
        <v>67</v>
      </c>
    </row>
    <row r="40" customFormat="false" ht="15" hidden="false" customHeight="false" outlineLevel="0" collapsed="false">
      <c r="A40" s="4" t="s">
        <v>49</v>
      </c>
      <c r="B40" s="6" t="n">
        <v>1092569.96</v>
      </c>
      <c r="C40" s="8" t="n">
        <f aca="false">B40/$B$43</f>
        <v>0.950095781783974</v>
      </c>
    </row>
    <row r="41" customFormat="false" ht="15" hidden="false" customHeight="false" outlineLevel="0" collapsed="false">
      <c r="A41" s="4" t="s">
        <v>50</v>
      </c>
      <c r="B41" s="6" t="n">
        <v>45686.94</v>
      </c>
      <c r="C41" s="8" t="n">
        <f aca="false">B41/$B$43</f>
        <v>0.0397292352579578</v>
      </c>
    </row>
    <row r="42" customFormat="false" ht="15" hidden="false" customHeight="false" outlineLevel="0" collapsed="false">
      <c r="A42" s="4" t="s">
        <v>51</v>
      </c>
      <c r="B42" s="6" t="n">
        <v>11700.8</v>
      </c>
      <c r="C42" s="8" t="n">
        <f aca="false">B42/$B$43</f>
        <v>0.0101749829580688</v>
      </c>
    </row>
    <row r="43" customFormat="false" ht="15" hidden="false" customHeight="false" outlineLevel="0" collapsed="false">
      <c r="A43" s="13" t="s">
        <v>52</v>
      </c>
      <c r="B43" s="16" t="n">
        <f aca="false">SUM(B40:B42)</f>
        <v>1149957.7</v>
      </c>
      <c r="C43" s="17" t="n">
        <f aca="false">SUM(C40:C42)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68</v>
      </c>
    </row>
    <row r="3" customFormat="false" ht="30" hidden="false" customHeight="true" outlineLevel="0" collapsed="false">
      <c r="A3" s="3" t="s">
        <v>69</v>
      </c>
      <c r="B3" s="3" t="s">
        <v>70</v>
      </c>
      <c r="C3" s="3" t="s">
        <v>71</v>
      </c>
      <c r="D3" s="3" t="s">
        <v>72</v>
      </c>
    </row>
    <row r="4" customFormat="false" ht="15" hidden="false" customHeight="false" outlineLevel="0" collapsed="false">
      <c r="A4" s="4" t="s">
        <v>73</v>
      </c>
      <c r="B4" s="18" t="n">
        <v>0.978</v>
      </c>
      <c r="C4" s="19" t="n">
        <f aca="false">B4*1000000</f>
        <v>978000</v>
      </c>
      <c r="D4" s="8" t="str">
        <f aca="false">IF(ROW()=4,"",C4/C3-1)</f>
        <v/>
      </c>
    </row>
    <row r="5" customFormat="false" ht="15" hidden="false" customHeight="false" outlineLevel="0" collapsed="false">
      <c r="A5" s="4" t="s">
        <v>74</v>
      </c>
      <c r="B5" s="18" t="n">
        <v>0.985</v>
      </c>
      <c r="C5" s="19" t="n">
        <f aca="false">B5*1000000</f>
        <v>985000</v>
      </c>
      <c r="D5" s="8" t="n">
        <f aca="false">IF(ROW()=4,"",C5/C4-1)</f>
        <v>0.00715746421267904</v>
      </c>
    </row>
    <row r="6" customFormat="false" ht="15" hidden="false" customHeight="false" outlineLevel="0" collapsed="false">
      <c r="A6" s="4" t="s">
        <v>75</v>
      </c>
      <c r="B6" s="18" t="n">
        <v>1.02</v>
      </c>
      <c r="C6" s="19" t="n">
        <f aca="false">B6*1000000</f>
        <v>1020000</v>
      </c>
      <c r="D6" s="8" t="n">
        <f aca="false">IF(ROW()=4,"",C6/C5-1)</f>
        <v>0.0355329949238579</v>
      </c>
    </row>
    <row r="7" customFormat="false" ht="15" hidden="false" customHeight="false" outlineLevel="0" collapsed="false">
      <c r="A7" s="4" t="s">
        <v>76</v>
      </c>
      <c r="B7" s="18" t="n">
        <v>1.03</v>
      </c>
      <c r="C7" s="19" t="n">
        <f aca="false">B7*1000000</f>
        <v>1030000</v>
      </c>
      <c r="D7" s="8" t="n">
        <f aca="false">IF(ROW()=4,"",C7/C6-1)</f>
        <v>0.00980392156862742</v>
      </c>
    </row>
    <row r="8" customFormat="false" ht="15" hidden="false" customHeight="false" outlineLevel="0" collapsed="false">
      <c r="A8" s="4" t="s">
        <v>77</v>
      </c>
      <c r="B8" s="18" t="n">
        <v>0.971</v>
      </c>
      <c r="C8" s="19" t="n">
        <f aca="false">B8*1000000</f>
        <v>971000</v>
      </c>
      <c r="D8" s="8" t="n">
        <f aca="false">IF(ROW()=4,"",C8/C7-1)</f>
        <v>-0.0572815533980583</v>
      </c>
    </row>
    <row r="9" customFormat="false" ht="15" hidden="false" customHeight="false" outlineLevel="0" collapsed="false">
      <c r="A9" s="4" t="s">
        <v>78</v>
      </c>
      <c r="B9" s="18" t="n">
        <v>1.06</v>
      </c>
      <c r="C9" s="19" t="n">
        <f aca="false">B9*1000000</f>
        <v>1060000</v>
      </c>
      <c r="D9" s="8" t="n">
        <f aca="false">IF(ROW()=4,"",C9/C8-1)</f>
        <v>0.0916580844490216</v>
      </c>
    </row>
    <row r="10" customFormat="false" ht="15" hidden="false" customHeight="false" outlineLevel="0" collapsed="false">
      <c r="A10" s="4" t="s">
        <v>79</v>
      </c>
      <c r="B10" s="18" t="n">
        <v>1.11</v>
      </c>
      <c r="C10" s="19" t="n">
        <f aca="false">B10*1000000</f>
        <v>1110000</v>
      </c>
      <c r="D10" s="8" t="n">
        <f aca="false">IF(ROW()=4,"",C10/C9-1)</f>
        <v>0.0471698113207548</v>
      </c>
    </row>
    <row r="11" customFormat="false" ht="15" hidden="false" customHeight="false" outlineLevel="0" collapsed="false">
      <c r="A11" s="4" t="s">
        <v>80</v>
      </c>
      <c r="B11" s="18" t="n">
        <v>1.11</v>
      </c>
      <c r="C11" s="19" t="n">
        <f aca="false">B11*1000000</f>
        <v>1110000</v>
      </c>
      <c r="D11" s="8" t="n">
        <f aca="false">IF(ROW()=4,"",C11/C10-1)</f>
        <v>0</v>
      </c>
    </row>
    <row r="12" customFormat="false" ht="15" hidden="false" customHeight="false" outlineLevel="0" collapsed="false">
      <c r="A12" s="4" t="s">
        <v>81</v>
      </c>
      <c r="B12" s="18" t="n">
        <v>1.09</v>
      </c>
      <c r="C12" s="19" t="n">
        <f aca="false">B12*1000000</f>
        <v>1090000</v>
      </c>
      <c r="D12" s="8" t="n">
        <f aca="false">IF(ROW()=4,"",C12/C11-1)</f>
        <v>-0.0180180180180181</v>
      </c>
    </row>
    <row r="13" customFormat="false" ht="15" hidden="false" customHeight="false" outlineLevel="0" collapsed="false">
      <c r="A13" s="4" t="s">
        <v>82</v>
      </c>
      <c r="B13" s="18" t="n">
        <v>1.12</v>
      </c>
      <c r="C13" s="19" t="n">
        <f aca="false">B13*1000000</f>
        <v>1120000</v>
      </c>
      <c r="D13" s="8" t="n">
        <f aca="false">IF(ROW()=4,"",C13/C12-1)</f>
        <v>0.0275229357798166</v>
      </c>
    </row>
    <row r="15" customFormat="false" ht="15" hidden="false" customHeight="false" outlineLevel="0" collapsed="false">
      <c r="A1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20" t="s">
        <v>84</v>
      </c>
    </row>
    <row r="2" customFormat="false" ht="26.85" hidden="false" customHeight="false" outlineLevel="0" collapsed="false">
      <c r="A2" s="21" t="s">
        <v>85</v>
      </c>
    </row>
    <row r="3" customFormat="false" ht="15" hidden="false" customHeight="false" outlineLevel="0" collapsed="false">
      <c r="A3" s="21" t="s">
        <v>86</v>
      </c>
    </row>
    <row r="4" customFormat="false" ht="26.85" hidden="false" customHeight="false" outlineLevel="0" collapsed="false">
      <c r="A4" s="21" t="s">
        <v>87</v>
      </c>
    </row>
    <row r="5" customFormat="false" ht="39.55" hidden="false" customHeight="false" outlineLevel="0" collapsed="false">
      <c r="A5" s="21" t="s">
        <v>88</v>
      </c>
    </row>
    <row r="6" customFormat="false" ht="26.85" hidden="false" customHeight="false" outlineLevel="0" collapsed="false">
      <c r="A6" s="21" t="s">
        <v>89</v>
      </c>
    </row>
    <row r="7" customFormat="false" ht="26.85" hidden="false" customHeight="false" outlineLevel="0" collapsed="false">
      <c r="A7" s="21" t="s">
        <v>90</v>
      </c>
    </row>
    <row r="8" customFormat="false" ht="26.85" hidden="false" customHeight="false" outlineLevel="0" collapsed="false">
      <c r="A8" s="21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2026-09-10T07:16:43Z</dcterms:created>
  <dc:creator>openpyxl</dc:creator>
  <dc:description/>
  <dc:language>en-US</dc:language>
  <cp:lastModifiedBy/>
  <dcterms:modified xsi:type="dcterms:W3CDTF">2026-09-10T07:16:43Z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