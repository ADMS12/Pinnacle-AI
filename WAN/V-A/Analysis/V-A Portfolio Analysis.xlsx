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EP IRA" sheetId="2" state="visible" r:id="rId4"/>
    <sheet name="Robinhood" sheetId="3" state="visible" r:id="rId5"/>
    <sheet name="Combined holdings" sheetId="4" state="visible" r:id="rId6"/>
    <sheet name="ETrade 2020" sheetId="5" state="visible" r:id="rId7"/>
    <sheet name="Luke UTMA" sheetId="6" state="visible" r:id="rId8"/>
    <sheet name="Cash &amp; banking" sheetId="7" state="visible" r:id="rId9"/>
    <sheet name="Consolid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32" authorId="0">
      <text>
        <r>
          <rPr>
            <sz val="10"/>
            <rFont val="Arial"/>
            <family val="2"/>
          </rPr>
          <t xml:space="preserve">Robinhood's house maintenance requirement varies by security (typically 25–50%). 30% is an assumption — change it here.</t>
        </r>
      </text>
    </comment>
  </commentList>
</comments>
</file>

<file path=xl/sharedStrings.xml><?xml version="1.0" encoding="utf-8"?>
<sst xmlns="http://schemas.openxmlformats.org/spreadsheetml/2006/main" count="1301" uniqueCount="544">
  <si>
    <t xml:space="preserve">V-A Portfolio Analysis — Vanessa Pepino Adraneda</t>
  </si>
  <si>
    <t xml:space="preserve">Sources: E*TRADE SEP IRA statement Aug 2026; Robinhood statement Jul 2026; E*TRADE individual statement Jun 2020 (C:\WAN\V-A). Blue = transcribed input; black = formula; green = link to another sheet.</t>
  </si>
  <si>
    <t xml:space="preserve">Account snapshot</t>
  </si>
  <si>
    <t xml:space="preserve">SEP IRA (8/31/26)</t>
  </si>
  <si>
    <t xml:space="preserve">Robinhood (7/31/26)</t>
  </si>
  <si>
    <t xml:space="preserve">Combined</t>
  </si>
  <si>
    <t xml:space="preserve">Note</t>
  </si>
  <si>
    <t xml:space="preserve">Securities market value</t>
  </si>
  <si>
    <t xml:space="preserve">Robinhood value is one month older than the SEP IRA</t>
  </si>
  <si>
    <t xml:space="preserve">Cash / (margin debit)</t>
  </si>
  <si>
    <t xml:space="preserve">Robinhood cash is a margin loan (negative)</t>
  </si>
  <si>
    <t xml:space="preserve">Net account value (equity)</t>
  </si>
  <si>
    <t xml:space="preserve">Leverage: securities ÷ equity</t>
  </si>
  <si>
    <t xml:space="preserve">1.00x = unlevered</t>
  </si>
  <si>
    <t xml:space="preserve">Number of positions</t>
  </si>
  <si>
    <t xml:space="preserve">Top-10 holdings share of securities</t>
  </si>
  <si>
    <t xml:space="preserve">Effective number of holdings (1/HHI)</t>
  </si>
  <si>
    <t xml:space="preserve">Higher = more evenly spread</t>
  </si>
  <si>
    <t xml:space="preserve">Estimated annual income</t>
  </si>
  <si>
    <t xml:space="preserve">SEP figure inflated by option-income ETF distributions</t>
  </si>
  <si>
    <t xml:space="preserve">Performance</t>
  </si>
  <si>
    <t xml:space="preserve">SEP IRA</t>
  </si>
  <si>
    <t xml:space="preserve">Robinhood</t>
  </si>
  <si>
    <t xml:space="preserve">Period covered</t>
  </si>
  <si>
    <t xml:space="preserve">Jan–Aug 2026 (YTD) and Aug 2026</t>
  </si>
  <si>
    <t xml:space="preserve">Jul 2026 only</t>
  </si>
  <si>
    <t xml:space="preserve">Beginning value (period)</t>
  </si>
  <si>
    <t xml:space="preserve">SEP: 1 Jan 2026 fair market value; RH: 1 Jul 2026 portfolio value</t>
  </si>
  <si>
    <t xml:space="preserve">External deposits (+) / withdrawals (−)</t>
  </si>
  <si>
    <t xml:space="preserve">SEP: $50,000 employer SEP contribution 2026 YTD; RH: $6.98 transfer from spending</t>
  </si>
  <si>
    <t xml:space="preserve">Dividends &amp; interest received</t>
  </si>
  <si>
    <t xml:space="preserve">Margin interest paid</t>
  </si>
  <si>
    <t xml:space="preserve">SEP IRA has no margin</t>
  </si>
  <si>
    <t xml:space="preserve">Change in value (investment gain/loss)</t>
  </si>
  <si>
    <t xml:space="preserve">Includes income; RH figure is net of margin interest</t>
  </si>
  <si>
    <t xml:space="preserve">Ending value (period)</t>
  </si>
  <si>
    <t xml:space="preserve">Return, Modified Dietz (flows at mid-period)</t>
  </si>
  <si>
    <t xml:space="preserve">SEP: −3.7% if the $50k arrived 1 Jan, −4.6% if 31 Aug</t>
  </si>
  <si>
    <t xml:space="preserve">Realized gain/(loss), period</t>
  </si>
  <si>
    <t xml:space="preserve">n/a</t>
  </si>
  <si>
    <t xml:space="preserve">Robinhood statement carries no cost basis</t>
  </si>
  <si>
    <t xml:space="preserve">Unrealized gain/(loss) at period end</t>
  </si>
  <si>
    <t xml:space="preserve">Method notes</t>
  </si>
  <si>
    <t xml:space="preserve">Every figure in blue was transcribed from the statement PDFs and independently re-checked; position tables reconcile to the statements' printed totals to the cent.</t>
  </si>
  <si>
    <t xml:space="preserve">Modified Dietz return = gain ÷ (beginning value + ½ × net external flows). The SEP IRA's $50,000 2026 contribution date is not shown on the August statement, so mid-year weighting is an assumption.</t>
  </si>
  <si>
    <t xml:space="preserve">Robinhood's 'Portfolio Value' is equity after the margin loan; returns on gross securities are shown on the Robinhood sheet. Robinhood prints no cost basis, so per-position gains are only available for the SEP IRA.</t>
  </si>
  <si>
    <t xml:space="preserve">The June 2020 E*TRADE statement is the opening month of an earlier individual account (4754-9228); it is included as a historical snapshot only and cannot be linked to the 2026 accounts.</t>
  </si>
  <si>
    <t xml:space="preserve">Household additions (15 Sep 2026)</t>
  </si>
  <si>
    <t xml:space="preserve">Luke UTMA value 31 Aug 2026</t>
  </si>
  <si>
    <t xml:space="preserve">UTMA 2026 YTD return (Dietz)</t>
  </si>
  <si>
    <t xml:space="preserve">Total cash &amp; CD (all accounts)</t>
  </si>
  <si>
    <t xml:space="preserve">Cash earning ~0%</t>
  </si>
  <si>
    <t xml:space="preserve">Household net assets (SEP + RH equity + UTMA + bank cash/CD)</t>
  </si>
  <si>
    <t xml:space="preserve">Margin loan remaining after applying cash</t>
  </si>
  <si>
    <t xml:space="preserve">E*TRADE from Morgan Stanley — SEP IRA 459-855137-203</t>
  </si>
  <si>
    <t xml:space="preserve">Statement for August 1–31, 2026 · Self-directed · Objective: Capital Appreciation · Beneficiary: Vanessa Adraneda Living Trust</t>
  </si>
  <si>
    <t xml:space="preserve">Symbol</t>
  </si>
  <si>
    <t xml:space="preserve">Security</t>
  </si>
  <si>
    <t xml:space="preserve">Kind</t>
  </si>
  <si>
    <t xml:space="preserve">Theme</t>
  </si>
  <si>
    <t xml:space="preserve">Quantity</t>
  </si>
  <si>
    <t xml:space="preserve">Price</t>
  </si>
  <si>
    <t xml:space="preserve">Total cost</t>
  </si>
  <si>
    <t xml:space="preserve">Market value</t>
  </si>
  <si>
    <t xml:space="preserve">Unrealized G/L</t>
  </si>
  <si>
    <t xml:space="preserve">Unrl %</t>
  </si>
  <si>
    <t xml:space="preserve">Est. annual income</t>
  </si>
  <si>
    <t xml:space="preserve">% of account</t>
  </si>
  <si>
    <t xml:space="preserve">Account summary</t>
  </si>
  <si>
    <t xml:space="preserve">Aug 2026</t>
  </si>
  <si>
    <t xml:space="preserve">2026 YTD</t>
  </si>
  <si>
    <t xml:space="preserve">GOOGL</t>
  </si>
  <si>
    <t xml:space="preserve">Alphabet Inc Cl A</t>
  </si>
  <si>
    <t xml:space="preserve">Stock</t>
  </si>
  <si>
    <t xml:space="preserve">Mega-cap tech</t>
  </si>
  <si>
    <t xml:space="preserve">Beginning value</t>
  </si>
  <si>
    <t xml:space="preserve">AMZN</t>
  </si>
  <si>
    <t xml:space="preserve">Amazon.com</t>
  </si>
  <si>
    <t xml:space="preserve">Contributions (employer SEP)</t>
  </si>
  <si>
    <t xml:space="preserve">APLD</t>
  </si>
  <si>
    <t xml:space="preserve">Applied Digital</t>
  </si>
  <si>
    <t xml:space="preserve">AI infrastructure</t>
  </si>
  <si>
    <t xml:space="preserve">Dividends &amp; interest</t>
  </si>
  <si>
    <t xml:space="preserve">CELH</t>
  </si>
  <si>
    <t xml:space="preserve">Celsius Holdings</t>
  </si>
  <si>
    <t xml:space="preserve">Consumer</t>
  </si>
  <si>
    <t xml:space="preserve">Change in value (incl. income)</t>
  </si>
  <si>
    <t xml:space="preserve">KO</t>
  </si>
  <si>
    <t xml:space="preserve">Coca-Cola</t>
  </si>
  <si>
    <t xml:space="preserve">Ending value</t>
  </si>
  <si>
    <t xml:space="preserve">COIN</t>
  </si>
  <si>
    <t xml:space="preserve">Coinbase Global</t>
  </si>
  <si>
    <t xml:space="preserve">Crypto / fintech</t>
  </si>
  <si>
    <t xml:space="preserve">Return (Modified Dietz, flows mid-period)</t>
  </si>
  <si>
    <t xml:space="preserve">HIMS</t>
  </si>
  <si>
    <t xml:space="preserve">Hims &amp; Hers Health</t>
  </si>
  <si>
    <t xml:space="preserve">Healthcare</t>
  </si>
  <si>
    <t xml:space="preserve">Realized gain/(loss)</t>
  </si>
  <si>
    <t xml:space="preserve">IBM</t>
  </si>
  <si>
    <t xml:space="preserve">Securities purchased</t>
  </si>
  <si>
    <t xml:space="preserve">LOW</t>
  </si>
  <si>
    <t xml:space="preserve">Lowe's</t>
  </si>
  <si>
    <t xml:space="preserve">Securities sold</t>
  </si>
  <si>
    <t xml:space="preserve">META</t>
  </si>
  <si>
    <t xml:space="preserve">Meta Platforms</t>
  </si>
  <si>
    <t xml:space="preserve">Closing cash (bank deposit program, net of $55.68 debit)</t>
  </si>
  <si>
    <t xml:space="preserve">MU</t>
  </si>
  <si>
    <t xml:space="preserve">Micron Technology</t>
  </si>
  <si>
    <t xml:space="preserve">Semiconductors</t>
  </si>
  <si>
    <t xml:space="preserve">NBIS</t>
  </si>
  <si>
    <t xml:space="preserve">Nebius Group</t>
  </si>
  <si>
    <t xml:space="preserve">NVDA</t>
  </si>
  <si>
    <t xml:space="preserve">NVIDIA</t>
  </si>
  <si>
    <t xml:space="preserve">OKLO</t>
  </si>
  <si>
    <t xml:space="preserve">Oklo Inc</t>
  </si>
  <si>
    <t xml:space="preserve">Nuclear / uranium</t>
  </si>
  <si>
    <t xml:space="preserve">ONDS</t>
  </si>
  <si>
    <t xml:space="preserve">Ondas Inc</t>
  </si>
  <si>
    <t xml:space="preserve">Drones / space</t>
  </si>
  <si>
    <t xml:space="preserve">OSCR</t>
  </si>
  <si>
    <t xml:space="preserve">Oscar Health</t>
  </si>
  <si>
    <t xml:space="preserve">PLTR</t>
  </si>
  <si>
    <t xml:space="preserve">Palantir Technologies</t>
  </si>
  <si>
    <t xml:space="preserve">Software / AI</t>
  </si>
  <si>
    <t xml:space="preserve">PPTA</t>
  </si>
  <si>
    <t xml:space="preserve">Perpetua Resources</t>
  </si>
  <si>
    <t xml:space="preserve">Metals / mining</t>
  </si>
  <si>
    <t xml:space="preserve">QSI</t>
  </si>
  <si>
    <t xml:space="preserve">Quantum-Si</t>
  </si>
  <si>
    <t xml:space="preserve">Quantum / speculative</t>
  </si>
  <si>
    <t xml:space="preserve">RGTI</t>
  </si>
  <si>
    <t xml:space="preserve">Rigetti Computing</t>
  </si>
  <si>
    <t xml:space="preserve">HOOD</t>
  </si>
  <si>
    <t xml:space="preserve">Robinhood Markets</t>
  </si>
  <si>
    <t xml:space="preserve">RKLB</t>
  </si>
  <si>
    <t xml:space="preserve">Rocket Lab</t>
  </si>
  <si>
    <t xml:space="preserve">SNDK</t>
  </si>
  <si>
    <t xml:space="preserve">Sandisk</t>
  </si>
  <si>
    <t xml:space="preserve">NOW</t>
  </si>
  <si>
    <t xml:space="preserve">ServiceNow</t>
  </si>
  <si>
    <t xml:space="preserve">URG</t>
  </si>
  <si>
    <t xml:space="preserve">Ur-Energy</t>
  </si>
  <si>
    <t xml:space="preserve">WMT</t>
  </si>
  <si>
    <t xml:space="preserve">Walmart</t>
  </si>
  <si>
    <t xml:space="preserve">WYFI</t>
  </si>
  <si>
    <t xml:space="preserve">WhiteFiber</t>
  </si>
  <si>
    <t xml:space="preserve">QQQ</t>
  </si>
  <si>
    <t xml:space="preserve">Invesco QQQ Trust</t>
  </si>
  <si>
    <t xml:space="preserve">ETF</t>
  </si>
  <si>
    <t xml:space="preserve">Index ETF</t>
  </si>
  <si>
    <t xml:space="preserve">SPYI</t>
  </si>
  <si>
    <t xml:space="preserve">NEOS S&amp;P 500 High Income ETF</t>
  </si>
  <si>
    <t xml:space="preserve">Option-income ETF</t>
  </si>
  <si>
    <t xml:space="preserve">SCHD</t>
  </si>
  <si>
    <t xml:space="preserve">Schwab US Dividend Equity ETF</t>
  </si>
  <si>
    <t xml:space="preserve">SPYG</t>
  </si>
  <si>
    <t xml:space="preserve">SPDR Portfolio S&amp;P 500 Growth ETF</t>
  </si>
  <si>
    <t xml:space="preserve">SPY</t>
  </si>
  <si>
    <t xml:space="preserve">SPDR S&amp;P 500 ETF</t>
  </si>
  <si>
    <t xml:space="preserve">NVDY</t>
  </si>
  <si>
    <t xml:space="preserve">YieldMax NVDA Option Income ETF</t>
  </si>
  <si>
    <t xml:space="preserve">Total securities</t>
  </si>
  <si>
    <t xml:space="preserve">Statement check: stocks $187,129.00 + ETFs $51,077.56 = $238,206.56; unrealized $55,863.56; cost $182,343.00</t>
  </si>
  <si>
    <t xml:space="preserve">Key figures (linked)</t>
  </si>
  <si>
    <t xml:space="preserve">Closing cash</t>
  </si>
  <si>
    <t xml:space="preserve">Beginning value 2026</t>
  </si>
  <si>
    <t xml:space="preserve">External flows 2026 YTD</t>
  </si>
  <si>
    <t xml:space="preserve">Dividends &amp; interest 2026 YTD</t>
  </si>
  <si>
    <t xml:space="preserve">Change in value 2026 YTD</t>
  </si>
  <si>
    <t xml:space="preserve">Ending value 31 Aug 2026</t>
  </si>
  <si>
    <t xml:space="preserve">Return 2026 YTD (Dietz)</t>
  </si>
  <si>
    <t xml:space="preserve">Realized G/L 2026 YTD</t>
  </si>
  <si>
    <t xml:space="preserve">Lifetime SEP contributions (statement 'Retirement Recap')</t>
  </si>
  <si>
    <t xml:space="preserve">2024</t>
  </si>
  <si>
    <t xml:space="preserve">2025</t>
  </si>
  <si>
    <t xml:space="preserve">2026</t>
  </si>
  <si>
    <t xml:space="preserve">Total contributed</t>
  </si>
  <si>
    <t xml:space="preserve">Value 31 Aug 2026</t>
  </si>
  <si>
    <t xml:space="preserve">Lifetime gain ($)</t>
  </si>
  <si>
    <t xml:space="preserve">Lifetime gain (% of contributions)</t>
  </si>
  <si>
    <t xml:space="preserve">Market value by month-end (statement chart: printed % change; values back-solved from 8/31/26)</t>
  </si>
  <si>
    <t xml:space="preserve">Month</t>
  </si>
  <si>
    <t xml:space="preserve">% change (printed)</t>
  </si>
  <si>
    <t xml:space="preserve">Value (derived)</t>
  </si>
  <si>
    <t xml:space="preserve">Aug 25</t>
  </si>
  <si>
    <t xml:space="preserve">Sep 25</t>
  </si>
  <si>
    <t xml:space="preserve">Oct 25</t>
  </si>
  <si>
    <t xml:space="preserve">Nov 25</t>
  </si>
  <si>
    <t xml:space="preserve">Dec 25</t>
  </si>
  <si>
    <t xml:space="preserve">Jan 26</t>
  </si>
  <si>
    <t xml:space="preserve">Feb 26</t>
  </si>
  <si>
    <t xml:space="preserve">Mar 26</t>
  </si>
  <si>
    <t xml:space="preserve">Apr 26</t>
  </si>
  <si>
    <t xml:space="preserve">May 26</t>
  </si>
  <si>
    <t xml:space="preserve">Jun 26</t>
  </si>
  <si>
    <t xml:space="preserve">Jul 26</t>
  </si>
  <si>
    <t xml:space="preserve">Aug 26</t>
  </si>
  <si>
    <t xml:space="preserve">Check: derived Dec 2025 value vs statement 2025 FMV $214,568.04 (difference is chart rounding). Values include the effect of contributions, not just performance.</t>
  </si>
  <si>
    <t xml:space="preserve">August 2026 activity</t>
  </si>
  <si>
    <t xml:space="preserve">Exposure by theme</t>
  </si>
  <si>
    <t xml:space="preserve">Date</t>
  </si>
  <si>
    <t xml:space="preserve">Type</t>
  </si>
  <si>
    <t xml:space="preserve">Description</t>
  </si>
  <si>
    <t xml:space="preserve">Amount</t>
  </si>
  <si>
    <t xml:space="preserve">% of securities</t>
  </si>
  <si>
    <t xml:space="preserve">8/4</t>
  </si>
  <si>
    <t xml:space="preserve">Bought</t>
  </si>
  <si>
    <t xml:space="preserve">8/5</t>
  </si>
  <si>
    <t xml:space="preserve">Dividend</t>
  </si>
  <si>
    <t xml:space="preserve">8/7</t>
  </si>
  <si>
    <t xml:space="preserve">8/14</t>
  </si>
  <si>
    <t xml:space="preserve">8/17</t>
  </si>
  <si>
    <t xml:space="preserve">Sold</t>
  </si>
  <si>
    <t xml:space="preserve">Tesla Inc</t>
  </si>
  <si>
    <t xml:space="preserve">TSLA</t>
  </si>
  <si>
    <t xml:space="preserve">Direxion Daily TSLA Bull 2X</t>
  </si>
  <si>
    <t xml:space="preserve">TSLL</t>
  </si>
  <si>
    <t xml:space="preserve">Netflix Inc</t>
  </si>
  <si>
    <t xml:space="preserve">NFLX</t>
  </si>
  <si>
    <t xml:space="preserve">Surf Air Mobility</t>
  </si>
  <si>
    <t xml:space="preserve">SRFM</t>
  </si>
  <si>
    <t xml:space="preserve">Meta Platforms Cl A</t>
  </si>
  <si>
    <t xml:space="preserve">8/21</t>
  </si>
  <si>
    <t xml:space="preserve">8/28</t>
  </si>
  <si>
    <t xml:space="preserve">8/31</t>
  </si>
  <si>
    <t xml:space="preserve">Interest</t>
  </si>
  <si>
    <t xml:space="preserve">Morgan Stanley Private Bank</t>
  </si>
  <si>
    <t xml:space="preserve">Net credits/(debits) — statement $14,928.54</t>
  </si>
  <si>
    <t xml:space="preserve">Robinhood — Individual margin account 140450008</t>
  </si>
  <si>
    <t xml:space="preserve">Statement for July 1–31, 2026 · Robinhood Gold · no cost basis printed</t>
  </si>
  <si>
    <t xml:space="preserve">Est. annual dividend</t>
  </si>
  <si>
    <t xml:space="preserve">% of equity</t>
  </si>
  <si>
    <t xml:space="preserve">Account summary — July 2026</t>
  </si>
  <si>
    <t xml:space="preserve">Amazon</t>
  </si>
  <si>
    <t xml:space="preserve">Opening portfolio value (equity), 1 Jul</t>
  </si>
  <si>
    <t xml:space="preserve">BATRA</t>
  </si>
  <si>
    <t xml:space="preserve">Atlanta Braves Holdings A</t>
  </si>
  <si>
    <t xml:space="preserve">Closing portfolio value (equity), 31 Jul</t>
  </si>
  <si>
    <t xml:space="preserve">BTBT</t>
  </si>
  <si>
    <t xml:space="preserve">Bit Digital</t>
  </si>
  <si>
    <t xml:space="preserve">Opening securities</t>
  </si>
  <si>
    <t xml:space="preserve">Celsius</t>
  </si>
  <si>
    <t xml:space="preserve">Closing securities</t>
  </si>
  <si>
    <t xml:space="preserve">CVX</t>
  </si>
  <si>
    <t xml:space="preserve">Chevron</t>
  </si>
  <si>
    <t xml:space="preserve">Energy</t>
  </si>
  <si>
    <t xml:space="preserve">Opening margin debit</t>
  </si>
  <si>
    <t xml:space="preserve">EOSE</t>
  </si>
  <si>
    <t xml:space="preserve">Eos Energy</t>
  </si>
  <si>
    <t xml:space="preserve">Clean energy / batteries</t>
  </si>
  <si>
    <t xml:space="preserve">Closing margin debit</t>
  </si>
  <si>
    <t xml:space="preserve">EOSER</t>
  </si>
  <si>
    <t xml:space="preserve">Eos Energy Right</t>
  </si>
  <si>
    <t xml:space="preserve">Dividends received (July)</t>
  </si>
  <si>
    <t xml:space="preserve">ERO</t>
  </si>
  <si>
    <t xml:space="preserve">Ero Copper</t>
  </si>
  <si>
    <t xml:space="preserve">Dividends received (2026 YTD)</t>
  </si>
  <si>
    <t xml:space="preserve">FLY</t>
  </si>
  <si>
    <t xml:space="preserve">Firefly Aerospace</t>
  </si>
  <si>
    <t xml:space="preserve">Margin interest charged (July)</t>
  </si>
  <si>
    <t xml:space="preserve">GLD</t>
  </si>
  <si>
    <t xml:space="preserve">SPDR Gold Trust</t>
  </si>
  <si>
    <t xml:space="preserve">Precious metals</t>
  </si>
  <si>
    <t xml:space="preserve">Transfer in from spending account</t>
  </si>
  <si>
    <t xml:space="preserve">GLND</t>
  </si>
  <si>
    <t xml:space="preserve">Greenland Energy</t>
  </si>
  <si>
    <t xml:space="preserve">Robinhood Gold deposit boost</t>
  </si>
  <si>
    <t xml:space="preserve">Alphabet Class A</t>
  </si>
  <si>
    <t xml:space="preserve">Securities purchased (incl. $424.41 dividend reinvestment)</t>
  </si>
  <si>
    <t xml:space="preserve">Check: change in margin debit = −purchases − interest + dividends + transfers</t>
  </si>
  <si>
    <t xml:space="preserve">   computed from activity</t>
  </si>
  <si>
    <t xml:space="preserve">IMSR</t>
  </si>
  <si>
    <t xml:space="preserve">Terrestrial Energy</t>
  </si>
  <si>
    <t xml:space="preserve">Market change on holdings = Δsecurities − purchases</t>
  </si>
  <si>
    <t xml:space="preserve">IONQ</t>
  </si>
  <si>
    <t xml:space="preserve">IonQ</t>
  </si>
  <si>
    <t xml:space="preserve">Return on gross securities (market change + dividends)</t>
  </si>
  <si>
    <t xml:space="preserve">IREN</t>
  </si>
  <si>
    <t xml:space="preserve">IREN Limited</t>
  </si>
  <si>
    <t xml:space="preserve">Change in equity (excl. transfer)</t>
  </si>
  <si>
    <t xml:space="preserve">IWMI</t>
  </si>
  <si>
    <t xml:space="preserve">NEOS Russell 2000 High Income ETF</t>
  </si>
  <si>
    <t xml:space="preserve">Return on equity, July (Modified Dietz)</t>
  </si>
  <si>
    <t xml:space="preserve">JD</t>
  </si>
  <si>
    <t xml:space="preserve">JD.com</t>
  </si>
  <si>
    <t xml:space="preserve">Average margin debit</t>
  </si>
  <si>
    <t xml:space="preserve">Implied annual margin rate</t>
  </si>
  <si>
    <t xml:space="preserve">LAC</t>
  </si>
  <si>
    <t xml:space="preserve">Lithium Americas</t>
  </si>
  <si>
    <t xml:space="preserve">Annualised margin cost at July's rate</t>
  </si>
  <si>
    <t xml:space="preserve">LITE</t>
  </si>
  <si>
    <t xml:space="preserve">Lumentum</t>
  </si>
  <si>
    <t xml:space="preserve">Leverage: securities ÷ equity (31 Jul)</t>
  </si>
  <si>
    <t xml:space="preserve">MSFT</t>
  </si>
  <si>
    <t xml:space="preserve">Microsoft</t>
  </si>
  <si>
    <t xml:space="preserve">Equity as % of securities</t>
  </si>
  <si>
    <t xml:space="preserve">Maintenance requirement (assumption)</t>
  </si>
  <si>
    <t xml:space="preserve">Netflix</t>
  </si>
  <si>
    <t xml:space="preserve">Market decline that would trigger a maintenance call</t>
  </si>
  <si>
    <t xml:space="preserve">NVTS</t>
  </si>
  <si>
    <t xml:space="preserve">Navitas Semiconductor</t>
  </si>
  <si>
    <t xml:space="preserve">PCG</t>
  </si>
  <si>
    <t xml:space="preserve">PG&amp;E</t>
  </si>
  <si>
    <t xml:space="preserve">Utilities</t>
  </si>
  <si>
    <t xml:space="preserve">QBTS</t>
  </si>
  <si>
    <t xml:space="preserve">D-Wave Quantum</t>
  </si>
  <si>
    <t xml:space="preserve">QQQI</t>
  </si>
  <si>
    <t xml:space="preserve">NEOS Nasdaq 100 High Income ETF</t>
  </si>
  <si>
    <t xml:space="preserve">QUBT</t>
  </si>
  <si>
    <t xml:space="preserve">Quantum Computing Inc</t>
  </si>
  <si>
    <t xml:space="preserve">RDW</t>
  </si>
  <si>
    <t xml:space="preserve">Redwire</t>
  </si>
  <si>
    <t xml:space="preserve">SCHG</t>
  </si>
  <si>
    <t xml:space="preserve">Schwab US Large-Cap Growth ETF</t>
  </si>
  <si>
    <t xml:space="preserve">SLV</t>
  </si>
  <si>
    <t xml:space="preserve">iShares Silver Trust</t>
  </si>
  <si>
    <t xml:space="preserve">SNDX</t>
  </si>
  <si>
    <t xml:space="preserve">Syndax Pharmaceuticals</t>
  </si>
  <si>
    <t xml:space="preserve">SOFI</t>
  </si>
  <si>
    <t xml:space="preserve">SoFi Technologies</t>
  </si>
  <si>
    <t xml:space="preserve">TEM</t>
  </si>
  <si>
    <t xml:space="preserve">Tempus AI</t>
  </si>
  <si>
    <t xml:space="preserve">TMQ</t>
  </si>
  <si>
    <t xml:space="preserve">Trilogy Metals</t>
  </si>
  <si>
    <t xml:space="preserve">UUUU</t>
  </si>
  <si>
    <t xml:space="preserve">Energy Fuels</t>
  </si>
  <si>
    <t xml:space="preserve">Total securities (statement $437,464.08; est. dividends $2,730.88)</t>
  </si>
  <si>
    <t xml:space="preserve">Estimated dividend yield on securities</t>
  </si>
  <si>
    <t xml:space="preserve">July 2026 activity</t>
  </si>
  <si>
    <t xml:space="preserve">Debit</t>
  </si>
  <si>
    <t xml:space="preserve">Credit</t>
  </si>
  <si>
    <t xml:space="preserve">06/30</t>
  </si>
  <si>
    <t xml:space="preserve">Buy (DRIP)</t>
  </si>
  <si>
    <t xml:space="preserve">07/01</t>
  </si>
  <si>
    <t xml:space="preserve">Buy (recurring)</t>
  </si>
  <si>
    <t xml:space="preserve">07/02</t>
  </si>
  <si>
    <t xml:space="preserve">PG&amp;E cash div</t>
  </si>
  <si>
    <t xml:space="preserve">PG&amp;E manufactured div</t>
  </si>
  <si>
    <t xml:space="preserve">07/06</t>
  </si>
  <si>
    <t xml:space="preserve">Margin interest</t>
  </si>
  <si>
    <t xml:space="preserve">Aggregated margin rate</t>
  </si>
  <si>
    <t xml:space="preserve">Buy</t>
  </si>
  <si>
    <t xml:space="preserve">Option expiry</t>
  </si>
  <si>
    <t xml:space="preserve">QCOM 07/02/2026 Call $300 (4 short)</t>
  </si>
  <si>
    <t xml:space="preserve">RKLB 07/02/2026 Call $102 (1)</t>
  </si>
  <si>
    <t xml:space="preserve">07/08</t>
  </si>
  <si>
    <t xml:space="preserve">Micron cash div</t>
  </si>
  <si>
    <t xml:space="preserve">Micron manufactured div</t>
  </si>
  <si>
    <t xml:space="preserve">07/09</t>
  </si>
  <si>
    <t xml:space="preserve">07/13</t>
  </si>
  <si>
    <t xml:space="preserve">07/15</t>
  </si>
  <si>
    <t xml:space="preserve">07/16</t>
  </si>
  <si>
    <t xml:space="preserve">07/21</t>
  </si>
  <si>
    <t xml:space="preserve">Transfer in</t>
  </si>
  <si>
    <t xml:space="preserve">From Robinhood spending account</t>
  </si>
  <si>
    <t xml:space="preserve">07/22</t>
  </si>
  <si>
    <t xml:space="preserve">07/24</t>
  </si>
  <si>
    <t xml:space="preserve">IWMI cash div</t>
  </si>
  <si>
    <t xml:space="preserve">QQQI cash div</t>
  </si>
  <si>
    <t xml:space="preserve">IWMI manufactured div</t>
  </si>
  <si>
    <t xml:space="preserve">QQQI manufactured div</t>
  </si>
  <si>
    <t xml:space="preserve">07/27</t>
  </si>
  <si>
    <t xml:space="preserve">07/28</t>
  </si>
  <si>
    <t xml:space="preserve">07/29</t>
  </si>
  <si>
    <t xml:space="preserve">07/31</t>
  </si>
  <si>
    <t xml:space="preserve">SPY cash div</t>
  </si>
  <si>
    <t xml:space="preserve">Gold deposit boost</t>
  </si>
  <si>
    <t xml:space="preserve">Robinhood Gold boost payment</t>
  </si>
  <si>
    <t xml:space="preserve">SPY manufactured div</t>
  </si>
  <si>
    <t xml:space="preserve">07/30</t>
  </si>
  <si>
    <t xml:space="preserve">Totals — statement $16,592.21 / $459.27</t>
  </si>
  <si>
    <t xml:space="preserve">Combined look-through — SEP IRA (8/31/26) + Robinhood (7/31/26)</t>
  </si>
  <si>
    <t xml:space="preserve">Same security held in both accounts is summed. Dates differ by one month.</t>
  </si>
  <si>
    <t xml:space="preserve">% of combined</t>
  </si>
  <si>
    <t xml:space="preserve">Held in both accounts</t>
  </si>
  <si>
    <t xml:space="preserve">Top-10 share</t>
  </si>
  <si>
    <t xml:space="preserve">Effective number of holdings</t>
  </si>
  <si>
    <t xml:space="preserve">%</t>
  </si>
  <si>
    <t xml:space="preserve">E*TRADE individual account 4754-9228 — June 1–30, 2020 (opening month)</t>
  </si>
  <si>
    <t xml:space="preserve">Historical snapshot; account not present in the 2026 statements. Address at the time: Crown Point, IN.</t>
  </si>
  <si>
    <t xml:space="preserve">AMED</t>
  </si>
  <si>
    <t xml:space="preserve">Amedisys</t>
  </si>
  <si>
    <t xml:space="preserve">DG</t>
  </si>
  <si>
    <t xml:space="preserve">Dollar General</t>
  </si>
  <si>
    <t xml:space="preserve">ETSY</t>
  </si>
  <si>
    <t xml:space="preserve">Etsy</t>
  </si>
  <si>
    <t xml:space="preserve">GPS</t>
  </si>
  <si>
    <t xml:space="preserve">Gap</t>
  </si>
  <si>
    <t xml:space="preserve">ROKU</t>
  </si>
  <si>
    <t xml:space="preserve">Roku</t>
  </si>
  <si>
    <t xml:space="preserve">SNE</t>
  </si>
  <si>
    <t xml:space="preserve">Sony ADR</t>
  </si>
  <si>
    <t xml:space="preserve">SQ</t>
  </si>
  <si>
    <t xml:space="preserve">Square</t>
  </si>
  <si>
    <t xml:space="preserve">Total securities (statement $11,087.72)</t>
  </si>
  <si>
    <t xml:space="preserve">Cash (sweep)</t>
  </si>
  <si>
    <t xml:space="preserve">Net account value 6/30/20 (statement $11,101.90)</t>
  </si>
  <si>
    <t xml:space="preserve">Deposits in June 2020</t>
  </si>
  <si>
    <t xml:space="preserve">Gain on deposits in first month</t>
  </si>
  <si>
    <t xml:space="preserve">06/11</t>
  </si>
  <si>
    <t xml:space="preserve">Deposit</t>
  </si>
  <si>
    <t xml:space="preserve">ACH deposit</t>
  </si>
  <si>
    <t xml:space="preserve">06/16</t>
  </si>
  <si>
    <t xml:space="preserve">VTI 6 @ 157.6451</t>
  </si>
  <si>
    <t xml:space="preserve">06/19</t>
  </si>
  <si>
    <t xml:space="preserve">06/22</t>
  </si>
  <si>
    <t xml:space="preserve">MSFT 5 @ 199.8231</t>
  </si>
  <si>
    <t xml:space="preserve">SNE 10 @ 71.71</t>
  </si>
  <si>
    <t xml:space="preserve">VTI 6 @ 157.725</t>
  </si>
  <si>
    <t xml:space="preserve">06/24</t>
  </si>
  <si>
    <t xml:space="preserve">AMED 3 @ 195.17</t>
  </si>
  <si>
    <t xml:space="preserve">AMED 7 @ 195.4925</t>
  </si>
  <si>
    <t xml:space="preserve">DG 10 @ 189.9685</t>
  </si>
  <si>
    <t xml:space="preserve">ETSY 10 @ 99.88</t>
  </si>
  <si>
    <t xml:space="preserve">MSFT 5 @ 201.255</t>
  </si>
  <si>
    <t xml:space="preserve">ROKU 10 @ 125.515</t>
  </si>
  <si>
    <t xml:space="preserve">WMT 10 @ 120.64</t>
  </si>
  <si>
    <t xml:space="preserve">06/26</t>
  </si>
  <si>
    <t xml:space="preserve">GPS 8 @ 13.0755</t>
  </si>
  <si>
    <t xml:space="preserve">SQ 9 @ 105.02</t>
  </si>
  <si>
    <t xml:space="preserve">Sweep interest</t>
  </si>
  <si>
    <t xml:space="preserve">Net = closing cash ($14.18)</t>
  </si>
  <si>
    <t xml:space="preserve">E*TRADE custodial UTMA/IN 459-403795-201 — Luke Adraneda (until 21)</t>
  </si>
  <si>
    <t xml:space="preserve">Statement Aug 1–31 2026 · custodian Vanessa Pepino Adraneda · blue = transcribed, black = formula</t>
  </si>
  <si>
    <t xml:space="preserve">GOOG</t>
  </si>
  <si>
    <t xml:space="preserve">Alphabet Inc Cl C</t>
  </si>
  <si>
    <t xml:space="preserve">Contributions (ACH deposits)</t>
  </si>
  <si>
    <t xml:space="preserve">AAPL</t>
  </si>
  <si>
    <t xml:space="preserve">Apple</t>
  </si>
  <si>
    <t xml:space="preserve">INTC</t>
  </si>
  <si>
    <t xml:space="preserve">Intel</t>
  </si>
  <si>
    <t xml:space="preserve">IRM</t>
  </si>
  <si>
    <t xml:space="preserve">Iron Mountain</t>
  </si>
  <si>
    <t xml:space="preserve">  of which short-term (YTD)</t>
  </si>
  <si>
    <t xml:space="preserve">PRME</t>
  </si>
  <si>
    <t xml:space="preserve">Prime Medicine</t>
  </si>
  <si>
    <t xml:space="preserve">  of which long-term (YTD)</t>
  </si>
  <si>
    <t xml:space="preserve">SPCX</t>
  </si>
  <si>
    <t xml:space="preserve">Space Exploration Techn Cl A</t>
  </si>
  <si>
    <t xml:space="preserve">SYM</t>
  </si>
  <si>
    <t xml:space="preserve">Symbotic</t>
  </si>
  <si>
    <t xml:space="preserve">Closing cash (bank deposit program)</t>
  </si>
  <si>
    <t xml:space="preserve">TMC</t>
  </si>
  <si>
    <t xml:space="preserve">TMC The Metals Company</t>
  </si>
  <si>
    <t xml:space="preserve">VOO</t>
  </si>
  <si>
    <t xml:space="preserve">Vanguard S&amp;P 500 ETF</t>
  </si>
  <si>
    <t xml:space="preserve">Total securities (statement $85,775.69 / cost $49,295.15 / unrealized $36,480.53)</t>
  </si>
  <si>
    <t xml:space="preserve">Top-10 share of securities</t>
  </si>
  <si>
    <t xml:space="preserve">8/3</t>
  </si>
  <si>
    <t xml:space="preserve">8/13</t>
  </si>
  <si>
    <t xml:space="preserve">Defiance Daily Target 2X Long OKLO</t>
  </si>
  <si>
    <t xml:space="preserve">OKLL</t>
  </si>
  <si>
    <t xml:space="preserve">8/24</t>
  </si>
  <si>
    <t xml:space="preserve">Morgan Stanley Bank</t>
  </si>
  <si>
    <t xml:space="preserve">Net credits/(debits) — statement $19,710.12</t>
  </si>
  <si>
    <t xml:space="preserve">Market value by month-end (statement chart % change; values back-solved from 8/31/26)</t>
  </si>
  <si>
    <t xml:space="preserve">% change</t>
  </si>
  <si>
    <t xml:space="preserve">Cash, savings and CD — all accounts</t>
  </si>
  <si>
    <t xml:space="preserve">Yellow = assumption. Recommendation logic: keep a reserve in checking, apply the rest to the Robinhood margin loan, then hold surplus in a money fund / T-bills at Schwab.</t>
  </si>
  <si>
    <t xml:space="preserve">Account</t>
  </si>
  <si>
    <t xml:space="preserve">Title</t>
  </si>
  <si>
    <t xml:space="preserve">Institution</t>
  </si>
  <si>
    <t xml:space="preserve">Balance</t>
  </si>
  <si>
    <t xml:space="preserve">As of</t>
  </si>
  <si>
    <t xml:space="preserve">Rate</t>
  </si>
  <si>
    <t xml:space="preserve">Notes</t>
  </si>
  <si>
    <t xml:space="preserve">Trust checking ×4554</t>
  </si>
  <si>
    <t xml:space="preserve">Vanessa Pepino Adraneda Living Trust (dtd 4/11/24)</t>
  </si>
  <si>
    <t xml:space="preserve">Centier Bank</t>
  </si>
  <si>
    <t xml:space="preserve">21 Aug 2026</t>
  </si>
  <si>
    <t xml:space="preserve">35-day statement 7/18–8/21: deposits $32,208.62 (payroll from Devoted Health, Archos Medical, Cardinal Home Health, Fergus Medical), debits $21,173.97; no interest paid</t>
  </si>
  <si>
    <t xml:space="preserve">3-month CD ×5501</t>
  </si>
  <si>
    <t xml:space="preserve">Trust</t>
  </si>
  <si>
    <t xml:space="preserve">10 Sep 2026</t>
  </si>
  <si>
    <t xml:space="preserve">Matures 12/10/2026; interest $151.26 paid 9/10; next 10/10</t>
  </si>
  <si>
    <t xml:space="preserve">Personal savings ×0081</t>
  </si>
  <si>
    <t xml:space="preserve">Vanessa Adraneda</t>
  </si>
  <si>
    <t xml:space="preserve">Robinhood (Coastal Community Bank)</t>
  </si>
  <si>
    <t xml:space="preserve">31 Aug 2026</t>
  </si>
  <si>
    <t xml:space="preserve">Interest $104.68 Aug; $321.05 YTD</t>
  </si>
  <si>
    <t xml:space="preserve">Child savings ×3365</t>
  </si>
  <si>
    <t xml:space="preserve">Luke Adraneda (with Vanessa)</t>
  </si>
  <si>
    <t xml:space="preserve">Interest $59.47 Aug; $65.22 YTD</t>
  </si>
  <si>
    <t xml:space="preserve">SEP IRA cash (bank deposit program)</t>
  </si>
  <si>
    <t xml:space="preserve">E*TRADE</t>
  </si>
  <si>
    <t xml:space="preserve">APY 0.010%</t>
  </si>
  <si>
    <t xml:space="preserve">UTMA cash (bank deposit program)</t>
  </si>
  <si>
    <t xml:space="preserve">Luke UTMA</t>
  </si>
  <si>
    <t xml:space="preserve">no yield shown</t>
  </si>
  <si>
    <t xml:space="preserve">Total cash</t>
  </si>
  <si>
    <t xml:space="preserve">blended rate</t>
  </si>
  <si>
    <t xml:space="preserve">Annual interest at current rates</t>
  </si>
  <si>
    <t xml:space="preserve">Assumptions</t>
  </si>
  <si>
    <t xml:space="preserve">Money-market yield (SWVXX 7-day, 14 Sep 2026)</t>
  </si>
  <si>
    <t xml:space="preserve">Robinhood margin rate</t>
  </si>
  <si>
    <t xml:space="preserve">Months of outflows to hold as reserve</t>
  </si>
  <si>
    <t xml:space="preserve">Checking outflows in statement (35 days)</t>
  </si>
  <si>
    <t xml:space="preserve">Payroll deposits in statement (35 days)</t>
  </si>
  <si>
    <t xml:space="preserve">Statement days</t>
  </si>
  <si>
    <t xml:space="preserve">Derived</t>
  </si>
  <si>
    <t xml:space="preserve">Monthly outflows</t>
  </si>
  <si>
    <t xml:space="preserve">Monthly net payroll</t>
  </si>
  <si>
    <t xml:space="preserve">Operating reserve to keep in checking</t>
  </si>
  <si>
    <t xml:space="preserve">Checking excess available</t>
  </si>
  <si>
    <t xml:space="preserve">Cash earning ~0% (checking + E*TRADE sweeps)</t>
  </si>
  <si>
    <t xml:space="preserve">Interest foregone per year at money-market yield</t>
  </si>
  <si>
    <t xml:space="preserve">Robinhood margin loan (Robinhood!O14)</t>
  </si>
  <si>
    <t xml:space="preserve">Pay now: checking excess + personal savings</t>
  </si>
  <si>
    <t xml:space="preserve">Pay at CD maturity (10 Dec 2026)</t>
  </si>
  <si>
    <t xml:space="preserve">Loan remaining after cash</t>
  </si>
  <si>
    <t xml:space="preserve">Annual interest saved by paying the loan with cash</t>
  </si>
  <si>
    <t xml:space="preserve">Call trigger after paying now (30% maintenance)</t>
  </si>
  <si>
    <t xml:space="preserve">Consolidation into three Schwab accounts</t>
  </si>
  <si>
    <t xml:space="preserve">Today</t>
  </si>
  <si>
    <t xml:space="preserve">Destination</t>
  </si>
  <si>
    <t xml:space="preserve">How</t>
  </si>
  <si>
    <t xml:space="preserve">Robinhood brokerage 140450008</t>
  </si>
  <si>
    <t xml:space="preserve">Vanessa (individual)</t>
  </si>
  <si>
    <t xml:space="preserve">A · Schwab trust brokerage</t>
  </si>
  <si>
    <t xml:space="preserve">Clear the margin loan first; ACATS in kind (fractions liquidated); journal into trust account if titles differ; $100 RH fee, ask Schwab to reimburse</t>
  </si>
  <si>
    <t xml:space="preserve">Robinhood personal savings ×0081</t>
  </si>
  <si>
    <t xml:space="preserve">Vanessa</t>
  </si>
  <si>
    <t xml:space="preserve">Apply to margin loan now; residual to SWVXX</t>
  </si>
  <si>
    <t xml:space="preserve">Centier 3-month CD ×5501</t>
  </si>
  <si>
    <t xml:space="preserve">Living Trust</t>
  </si>
  <si>
    <t xml:space="preserve">At maturity 12/10/2026 → margin loan / T-bills; do not roll</t>
  </si>
  <si>
    <t xml:space="preserve">Centier checking ×4554 — excess</t>
  </si>
  <si>
    <t xml:space="preserve">Excess over reserve → margin loan now; later surplus → SWVXX</t>
  </si>
  <si>
    <t xml:space="preserve">Centier checking ×4554 — reserve</t>
  </si>
  <si>
    <t xml:space="preserve">Stays at Centier</t>
  </si>
  <si>
    <t xml:space="preserve">Operating account for payroll and bills</t>
  </si>
  <si>
    <t xml:space="preserve">E*TRADE SEP IRA 459-855137-203</t>
  </si>
  <si>
    <t xml:space="preserve">B · Schwab SEP IRA</t>
  </si>
  <si>
    <t xml:space="preserve">Like-to-like ACATS in kind; no tax; sweep cash → money fund; no E*TRADE fee</t>
  </si>
  <si>
    <t xml:space="preserve">E*TRADE UTMA 459-403795-201</t>
  </si>
  <si>
    <t xml:space="preserve">Vanessa C/F Luke, UTMA/IN</t>
  </si>
  <si>
    <t xml:space="preserve">C · Schwab custodial UTMA/IN</t>
  </si>
  <si>
    <t xml:space="preserve">ACATS in kind; cash → money fund; drop option-income ETFs (kiddie tax)</t>
  </si>
  <si>
    <t xml:space="preserve">Robinhood child savings ×3365</t>
  </si>
  <si>
    <t xml:space="preserve">Luke (with Vanessa)</t>
  </si>
  <si>
    <t xml:space="preserve">C · Schwab custodial UTMA/IN (or Indiana529)</t>
  </si>
  <si>
    <t xml:space="preserve">Luke's money stays Luke's; Indiana529 earns 20% state credit up to $1,500/yr</t>
  </si>
  <si>
    <t xml:space="preserve">Totals by destination</t>
  </si>
  <si>
    <t xml:space="preserve">Note: destination A total is before the margin payoff — the loan is settled from the cash lines above it, so the net arriving at Schwab is the Robinhood equity plus whatever cash remains.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</si>
</sst>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;&quot;($&quot;#,##0.00\);\-"/>
    <numFmt numFmtId="166" formatCode="0.00\x"/>
    <numFmt numFmtId="167" formatCode="0"/>
    <numFmt numFmtId="168" formatCode="0.0%;\(0.0%\);\-"/>
    <numFmt numFmtId="169" formatCode="0.0"/>
    <numFmt numFmtId="170" formatCode="#,##0.######"/>
    <numFmt numFmtId="171" formatCode="\$#,##0.000"/>
    <numFmt numFmtId="172" formatCode="\$#,##0;&quot;($&quot;#,##0\);\-"/>
    <numFmt numFmtId="173" formatCode="\$#,##0.0000"/>
    <numFmt numFmtId="174" formatCode="0.00%"/>
    <numFmt numFmtId="175" formatCode="\$#,##0.00"/>
    <numFmt numFmtId="176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2F2F2"/>
        <bgColor rgb="FFDCE6F1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'SEP IRA'!H42</f>
        <v>238206.56</v>
      </c>
      <c r="C5" s="5" t="n">
        <f aca="false">Robinhood!F58</f>
        <v>437464.08</v>
      </c>
      <c r="D5" s="6" t="n">
        <f aca="false">B5+C5</f>
        <v>675670.64</v>
      </c>
      <c r="E5" s="7" t="s">
        <v>8</v>
      </c>
    </row>
    <row r="6" customFormat="false" ht="15" hidden="false" customHeight="false" outlineLevel="0" collapsed="false">
      <c r="A6" s="4" t="s">
        <v>9</v>
      </c>
      <c r="B6" s="5" t="n">
        <f aca="false">'SEP IRA'!B48</f>
        <v>16443.72</v>
      </c>
      <c r="C6" s="5" t="n">
        <f aca="false">Robinhood!O14</f>
        <v>-216910.5</v>
      </c>
      <c r="D6" s="6" t="n">
        <f aca="false">B6+C6</f>
        <v>-200466.78</v>
      </c>
      <c r="E6" s="7" t="s">
        <v>10</v>
      </c>
    </row>
    <row r="7" customFormat="false" ht="15" hidden="false" customHeight="false" outlineLevel="0" collapsed="false">
      <c r="A7" s="4" t="s">
        <v>11</v>
      </c>
      <c r="B7" s="6" t="n">
        <f aca="false">B5+B6</f>
        <v>254650.28</v>
      </c>
      <c r="C7" s="6" t="n">
        <f aca="false">C5+C6</f>
        <v>220553.58</v>
      </c>
      <c r="D7" s="6" t="n">
        <f aca="false">B7+C7</f>
        <v>475203.86</v>
      </c>
      <c r="E7" s="7"/>
    </row>
    <row r="8" customFormat="false" ht="15" hidden="false" customHeight="false" outlineLevel="0" collapsed="false">
      <c r="A8" s="4" t="s">
        <v>12</v>
      </c>
      <c r="B8" s="8" t="n">
        <f aca="false">B5/B7</f>
        <v>0.935426263815614</v>
      </c>
      <c r="C8" s="8" t="n">
        <f aca="false">C5/C7</f>
        <v>1.98348210897325</v>
      </c>
      <c r="D8" s="8" t="n">
        <f aca="false">D5/D7</f>
        <v>1.42185427534196</v>
      </c>
      <c r="E8" s="7" t="s">
        <v>13</v>
      </c>
    </row>
    <row r="9" customFormat="false" ht="15" hidden="false" customHeight="false" outlineLevel="0" collapsed="false">
      <c r="A9" s="4" t="s">
        <v>14</v>
      </c>
      <c r="B9" s="9" t="n">
        <f aca="false">COUNTA('SEP IRA'!A8:A40)</f>
        <v>33</v>
      </c>
      <c r="C9" s="9" t="n">
        <f aca="false">COUNTA(Robinhood!A9:A56)</f>
        <v>48</v>
      </c>
      <c r="E9" s="7"/>
    </row>
    <row r="10" customFormat="false" ht="15" hidden="false" customHeight="false" outlineLevel="0" collapsed="false">
      <c r="A10" s="4" t="s">
        <v>15</v>
      </c>
      <c r="B10" s="10" t="n">
        <f aca="false">'SEP IRA'!I44</f>
        <v>0.641876991129044</v>
      </c>
      <c r="C10" s="10" t="n">
        <f aca="false">Robinhood!H59</f>
        <v>0.64877445480781</v>
      </c>
      <c r="E10" s="7"/>
    </row>
    <row r="11" customFormat="false" ht="15" hidden="false" customHeight="false" outlineLevel="0" collapsed="false">
      <c r="A11" s="4" t="s">
        <v>16</v>
      </c>
      <c r="B11" s="11" t="n">
        <f aca="false">'SEP IRA'!I45</f>
        <v>15.3406120550532</v>
      </c>
      <c r="C11" s="11" t="n">
        <f aca="false">Robinhood!H60</f>
        <v>16.1644327453298</v>
      </c>
      <c r="E11" s="7" t="s">
        <v>17</v>
      </c>
    </row>
    <row r="12" customFormat="false" ht="15" hidden="false" customHeight="false" outlineLevel="0" collapsed="false">
      <c r="A12" s="4" t="s">
        <v>18</v>
      </c>
      <c r="B12" s="5" t="n">
        <f aca="false">'SEP IRA'!K42</f>
        <v>6959.12</v>
      </c>
      <c r="C12" s="5" t="n">
        <f aca="false">Robinhood!G58</f>
        <v>2730.88</v>
      </c>
      <c r="D12" s="6" t="n">
        <f aca="false">B12+C12</f>
        <v>9690</v>
      </c>
      <c r="E12" s="7" t="s">
        <v>19</v>
      </c>
    </row>
    <row r="15" customFormat="false" ht="15" hidden="false" customHeight="false" outlineLevel="0" collapsed="false">
      <c r="A15" s="3" t="s">
        <v>20</v>
      </c>
      <c r="B15" s="3" t="s">
        <v>21</v>
      </c>
      <c r="C15" s="3" t="s">
        <v>22</v>
      </c>
      <c r="D15" s="3"/>
      <c r="E15" s="3" t="s">
        <v>6</v>
      </c>
    </row>
    <row r="16" customFormat="false" ht="15" hidden="false" customHeight="false" outlineLevel="0" collapsed="false">
      <c r="A16" s="4" t="s">
        <v>23</v>
      </c>
      <c r="B16" s="6" t="s">
        <v>24</v>
      </c>
      <c r="C16" s="6" t="s">
        <v>25</v>
      </c>
      <c r="E16" s="7"/>
    </row>
    <row r="17" customFormat="false" ht="15" hidden="false" customHeight="false" outlineLevel="0" collapsed="false">
      <c r="A17" s="4" t="s">
        <v>26</v>
      </c>
      <c r="B17" s="5" t="n">
        <f aca="false">'SEP IRA'!B49</f>
        <v>214568.04</v>
      </c>
      <c r="C17" s="5" t="n">
        <f aca="false">Robinhood!O9</f>
        <v>237113.93</v>
      </c>
      <c r="E17" s="7" t="s">
        <v>27</v>
      </c>
    </row>
    <row r="18" customFormat="false" ht="15" hidden="false" customHeight="false" outlineLevel="0" collapsed="false">
      <c r="A18" s="4" t="s">
        <v>28</v>
      </c>
      <c r="B18" s="5" t="n">
        <f aca="false">'SEP IRA'!B50</f>
        <v>50000</v>
      </c>
      <c r="C18" s="5" t="n">
        <f aca="false">Robinhood!O18</f>
        <v>6.98</v>
      </c>
      <c r="E18" s="7" t="s">
        <v>29</v>
      </c>
    </row>
    <row r="19" customFormat="false" ht="15" hidden="false" customHeight="false" outlineLevel="0" collapsed="false">
      <c r="A19" s="4" t="s">
        <v>30</v>
      </c>
      <c r="B19" s="5" t="n">
        <f aca="false">'SEP IRA'!B51</f>
        <v>4140.66</v>
      </c>
      <c r="C19" s="5" t="n">
        <f aca="false">Robinhood!O15</f>
        <v>446.58</v>
      </c>
      <c r="E19" s="7"/>
    </row>
    <row r="20" customFormat="false" ht="15" hidden="false" customHeight="false" outlineLevel="0" collapsed="false">
      <c r="A20" s="4" t="s">
        <v>31</v>
      </c>
      <c r="B20" s="12" t="n">
        <v>0</v>
      </c>
      <c r="C20" s="5" t="n">
        <f aca="false">-Robinhood!O17</f>
        <v>-731.94</v>
      </c>
      <c r="E20" s="7" t="s">
        <v>32</v>
      </c>
    </row>
    <row r="21" customFormat="false" ht="15" hidden="false" customHeight="false" outlineLevel="0" collapsed="false">
      <c r="A21" s="4" t="s">
        <v>33</v>
      </c>
      <c r="B21" s="5" t="n">
        <f aca="false">'SEP IRA'!B52</f>
        <v>-9917.76</v>
      </c>
      <c r="C21" s="5" t="n">
        <f aca="false">Robinhood!O25</f>
        <v>-16567.33</v>
      </c>
      <c r="E21" s="7" t="s">
        <v>34</v>
      </c>
    </row>
    <row r="22" customFormat="false" ht="15" hidden="false" customHeight="false" outlineLevel="0" collapsed="false">
      <c r="A22" s="4" t="s">
        <v>35</v>
      </c>
      <c r="B22" s="5" t="n">
        <f aca="false">'SEP IRA'!B53</f>
        <v>254650.28</v>
      </c>
      <c r="C22" s="5" t="n">
        <f aca="false">Robinhood!O10</f>
        <v>220553.58</v>
      </c>
      <c r="E22" s="7"/>
    </row>
    <row r="23" customFormat="false" ht="15" hidden="false" customHeight="false" outlineLevel="0" collapsed="false">
      <c r="A23" s="4" t="s">
        <v>36</v>
      </c>
      <c r="B23" s="10" t="n">
        <f aca="false">'SEP IRA'!B54</f>
        <v>-0.0413985104190025</v>
      </c>
      <c r="C23" s="10" t="n">
        <f aca="false">Robinhood!O26</f>
        <v>-0.0698697295205051</v>
      </c>
      <c r="E23" s="7" t="s">
        <v>37</v>
      </c>
    </row>
    <row r="24" customFormat="false" ht="15" hidden="false" customHeight="false" outlineLevel="0" collapsed="false">
      <c r="A24" s="4" t="s">
        <v>38</v>
      </c>
      <c r="B24" s="5" t="n">
        <f aca="false">'SEP IRA'!B55</f>
        <v>-9503.93</v>
      </c>
      <c r="C24" s="6" t="s">
        <v>39</v>
      </c>
      <c r="E24" s="7" t="s">
        <v>40</v>
      </c>
    </row>
    <row r="25" customFormat="false" ht="15" hidden="false" customHeight="false" outlineLevel="0" collapsed="false">
      <c r="A25" s="4" t="s">
        <v>41</v>
      </c>
      <c r="B25" s="5" t="n">
        <f aca="false">'SEP IRA'!I42</f>
        <v>55863.56</v>
      </c>
      <c r="C25" s="6" t="s">
        <v>39</v>
      </c>
      <c r="E25" s="7"/>
    </row>
    <row r="28" customFormat="false" ht="15" hidden="false" customHeight="false" outlineLevel="0" collapsed="false">
      <c r="A28" s="13" t="s">
        <v>42</v>
      </c>
    </row>
    <row r="29" customFormat="false" ht="30" hidden="false" customHeight="true" outlineLevel="0" collapsed="false">
      <c r="A29" s="14" t="s">
        <v>43</v>
      </c>
      <c r="B29" s="14"/>
      <c r="C29" s="14"/>
      <c r="D29" s="14"/>
      <c r="E29" s="14"/>
    </row>
    <row r="30" customFormat="false" ht="30" hidden="false" customHeight="true" outlineLevel="0" collapsed="false">
      <c r="A30" s="14" t="s">
        <v>44</v>
      </c>
      <c r="B30" s="14"/>
      <c r="C30" s="14"/>
      <c r="D30" s="14"/>
      <c r="E30" s="14"/>
    </row>
    <row r="31" customFormat="false" ht="30" hidden="false" customHeight="true" outlineLevel="0" collapsed="false">
      <c r="A31" s="14" t="s">
        <v>45</v>
      </c>
      <c r="B31" s="14"/>
      <c r="C31" s="14"/>
      <c r="D31" s="14"/>
      <c r="E31" s="14"/>
    </row>
    <row r="32" customFormat="false" ht="30" hidden="false" customHeight="true" outlineLevel="0" collapsed="false">
      <c r="A32" s="14" t="s">
        <v>46</v>
      </c>
      <c r="B32" s="14"/>
      <c r="C32" s="14"/>
      <c r="D32" s="14"/>
      <c r="E32" s="14"/>
    </row>
    <row r="33" customFormat="false" ht="15" hidden="false" customHeight="false" outlineLevel="0" collapsed="false">
      <c r="A33" s="13" t="s">
        <v>47</v>
      </c>
    </row>
    <row r="34" customFormat="false" ht="15" hidden="false" customHeight="false" outlineLevel="0" collapsed="false">
      <c r="A34" s="4" t="s">
        <v>48</v>
      </c>
      <c r="B34" s="5" t="n">
        <f aca="false">'Luke UTMA'!P12</f>
        <v>107856.89</v>
      </c>
    </row>
    <row r="35" customFormat="false" ht="15" hidden="false" customHeight="false" outlineLevel="0" collapsed="false">
      <c r="A35" s="4" t="s">
        <v>49</v>
      </c>
      <c r="B35" s="10" t="n">
        <f aca="false">'Luke UTMA'!P13</f>
        <v>-0.00111288722430815</v>
      </c>
    </row>
    <row r="36" customFormat="false" ht="15" hidden="false" customHeight="false" outlineLevel="0" collapsed="false">
      <c r="A36" s="4" t="s">
        <v>50</v>
      </c>
      <c r="B36" s="5" t="n">
        <f aca="false">'Cash &amp; banking'!D11</f>
        <v>310474.01</v>
      </c>
    </row>
    <row r="37" customFormat="false" ht="15" hidden="false" customHeight="false" outlineLevel="0" collapsed="false">
      <c r="A37" s="4" t="s">
        <v>51</v>
      </c>
      <c r="B37" s="5" t="n">
        <f aca="false">'Cash &amp; banking'!D27</f>
        <v>203237.41</v>
      </c>
    </row>
    <row r="38" customFormat="false" ht="15" hidden="false" customHeight="false" outlineLevel="0" collapsed="false">
      <c r="A38" s="4" t="s">
        <v>52</v>
      </c>
      <c r="B38" s="5" t="n">
        <f aca="false">D7+'Luke UTMA'!P12+SUM('Cash &amp; banking'!D5:D8)</f>
        <v>855009.84</v>
      </c>
    </row>
    <row r="39" customFormat="false" ht="15" hidden="false" customHeight="false" outlineLevel="0" collapsed="false">
      <c r="A39" s="4" t="s">
        <v>53</v>
      </c>
      <c r="B39" s="5" t="n">
        <f aca="false">'Cash &amp; banking'!D32</f>
        <v>19473.9814285714</v>
      </c>
    </row>
  </sheetData>
  <mergeCells count="4">
    <mergeCell ref="A29:E29"/>
    <mergeCell ref="A30:E30"/>
    <mergeCell ref="A31:E31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false" outlineLevel="0" max="14" min="14" style="0" width="40"/>
    <col collapsed="false" customWidth="true" hidden="false" outlineLevel="0" max="16" min="15" style="0" width="16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7" customFormat="false" ht="26.85" hidden="false" customHeight="false" outlineLevel="0" collapsed="false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63</v>
      </c>
      <c r="I7" s="3" t="s">
        <v>64</v>
      </c>
      <c r="J7" s="3" t="s">
        <v>65</v>
      </c>
      <c r="K7" s="3" t="s">
        <v>66</v>
      </c>
      <c r="L7" s="3" t="s">
        <v>67</v>
      </c>
      <c r="N7" s="15" t="s">
        <v>68</v>
      </c>
      <c r="O7" s="15" t="s">
        <v>69</v>
      </c>
      <c r="P7" s="15" t="s">
        <v>70</v>
      </c>
    </row>
    <row r="8" customFormat="false" ht="15" hidden="false" customHeight="false" outlineLevel="0" collapsed="false">
      <c r="A8" s="4" t="s">
        <v>71</v>
      </c>
      <c r="B8" s="4" t="s">
        <v>72</v>
      </c>
      <c r="C8" s="4" t="s">
        <v>73</v>
      </c>
      <c r="D8" s="4" t="s">
        <v>74</v>
      </c>
      <c r="E8" s="16" t="n">
        <v>30</v>
      </c>
      <c r="F8" s="17" t="n">
        <v>339.35</v>
      </c>
      <c r="G8" s="12" t="n">
        <v>6734.45</v>
      </c>
      <c r="H8" s="12" t="n">
        <v>10180.5</v>
      </c>
      <c r="I8" s="12" t="n">
        <v>3446.05</v>
      </c>
      <c r="J8" s="18" t="n">
        <f aca="false">IF(G8=0,0,I8/G8)</f>
        <v>0.511704742035356</v>
      </c>
      <c r="K8" s="12" t="n">
        <v>26.4</v>
      </c>
      <c r="L8" s="18" t="n">
        <f aca="false">H8/$B$53</f>
        <v>0.0399783577697225</v>
      </c>
      <c r="N8" s="4" t="s">
        <v>75</v>
      </c>
      <c r="O8" s="12" t="n">
        <v>232750.22</v>
      </c>
      <c r="P8" s="12" t="n">
        <v>214568.04</v>
      </c>
    </row>
    <row r="9" customFormat="false" ht="15" hidden="false" customHeight="false" outlineLevel="0" collapsed="false">
      <c r="A9" s="4" t="s">
        <v>76</v>
      </c>
      <c r="B9" s="4" t="s">
        <v>77</v>
      </c>
      <c r="C9" s="4" t="s">
        <v>73</v>
      </c>
      <c r="D9" s="4" t="s">
        <v>74</v>
      </c>
      <c r="E9" s="16" t="n">
        <v>40</v>
      </c>
      <c r="F9" s="17" t="n">
        <v>259.77</v>
      </c>
      <c r="G9" s="12" t="n">
        <v>9269.55</v>
      </c>
      <c r="H9" s="12" t="n">
        <v>10390.8</v>
      </c>
      <c r="I9" s="12" t="n">
        <v>1121.25</v>
      </c>
      <c r="J9" s="18" t="n">
        <f aca="false">IF(G9=0,0,I9/G9)</f>
        <v>0.120960564428694</v>
      </c>
      <c r="K9" s="12" t="n">
        <v>0</v>
      </c>
      <c r="L9" s="18" t="n">
        <f aca="false">H9/$B$53</f>
        <v>0.0408041962490675</v>
      </c>
      <c r="N9" s="4" t="s">
        <v>78</v>
      </c>
      <c r="O9" s="12" t="n">
        <v>0</v>
      </c>
      <c r="P9" s="12" t="n">
        <v>50000</v>
      </c>
    </row>
    <row r="10" customFormat="false" ht="15" hidden="false" customHeight="false" outlineLevel="0" collapsed="false">
      <c r="A10" s="4" t="s">
        <v>79</v>
      </c>
      <c r="B10" s="4" t="s">
        <v>80</v>
      </c>
      <c r="C10" s="4" t="s">
        <v>73</v>
      </c>
      <c r="D10" s="4" t="s">
        <v>81</v>
      </c>
      <c r="E10" s="16" t="n">
        <v>260</v>
      </c>
      <c r="F10" s="17" t="n">
        <v>25.41</v>
      </c>
      <c r="G10" s="12" t="n">
        <v>4199.61</v>
      </c>
      <c r="H10" s="12" t="n">
        <v>6606.6</v>
      </c>
      <c r="I10" s="12" t="n">
        <v>2406.99</v>
      </c>
      <c r="J10" s="18" t="n">
        <f aca="false">IF(G10=0,0,I10/G10)</f>
        <v>0.573146077850086</v>
      </c>
      <c r="K10" s="12" t="n">
        <v>0</v>
      </c>
      <c r="L10" s="18" t="n">
        <f aca="false">H10/$B$53</f>
        <v>0.0259438159659593</v>
      </c>
      <c r="N10" s="4" t="s">
        <v>82</v>
      </c>
      <c r="O10" s="12" t="n">
        <v>416.43</v>
      </c>
      <c r="P10" s="12" t="n">
        <v>4140.66</v>
      </c>
    </row>
    <row r="11" customFormat="false" ht="15" hidden="false" customHeight="false" outlineLevel="0" collapsed="false">
      <c r="A11" s="4" t="s">
        <v>83</v>
      </c>
      <c r="B11" s="4" t="s">
        <v>84</v>
      </c>
      <c r="C11" s="4" t="s">
        <v>73</v>
      </c>
      <c r="D11" s="4" t="s">
        <v>85</v>
      </c>
      <c r="E11" s="16" t="n">
        <v>150</v>
      </c>
      <c r="F11" s="17" t="n">
        <v>31.45</v>
      </c>
      <c r="G11" s="12" t="n">
        <v>4746.25</v>
      </c>
      <c r="H11" s="12" t="n">
        <v>4717.5</v>
      </c>
      <c r="I11" s="12" t="n">
        <v>-28.75</v>
      </c>
      <c r="J11" s="18" t="n">
        <f aca="false">IF(G11=0,0,I11/G11)</f>
        <v>-0.00605741374769555</v>
      </c>
      <c r="K11" s="12" t="n">
        <v>0</v>
      </c>
      <c r="L11" s="18" t="n">
        <f aca="false">H11/$B$53</f>
        <v>0.0185254066871633</v>
      </c>
      <c r="N11" s="4" t="s">
        <v>86</v>
      </c>
      <c r="O11" s="12" t="n">
        <v>21900.06</v>
      </c>
      <c r="P11" s="12" t="n">
        <v>-9917.76</v>
      </c>
    </row>
    <row r="12" customFormat="false" ht="15" hidden="false" customHeight="false" outlineLevel="0" collapsed="false">
      <c r="A12" s="4" t="s">
        <v>87</v>
      </c>
      <c r="B12" s="4" t="s">
        <v>88</v>
      </c>
      <c r="C12" s="4" t="s">
        <v>73</v>
      </c>
      <c r="D12" s="4" t="s">
        <v>85</v>
      </c>
      <c r="E12" s="16" t="n">
        <v>100</v>
      </c>
      <c r="F12" s="17" t="n">
        <v>88.67</v>
      </c>
      <c r="G12" s="12" t="n">
        <v>6747.16</v>
      </c>
      <c r="H12" s="12" t="n">
        <v>8867</v>
      </c>
      <c r="I12" s="12" t="n">
        <v>2119.84</v>
      </c>
      <c r="J12" s="18" t="n">
        <f aca="false">IF(G12=0,0,I12/G12)</f>
        <v>0.314182559773297</v>
      </c>
      <c r="K12" s="12" t="n">
        <v>212</v>
      </c>
      <c r="L12" s="18" t="n">
        <f aca="false">H12/$B$53</f>
        <v>0.0348203033587868</v>
      </c>
      <c r="N12" s="4" t="s">
        <v>89</v>
      </c>
      <c r="O12" s="19" t="n">
        <f aca="false">O8+O9+O11</f>
        <v>254650.28</v>
      </c>
      <c r="P12" s="19" t="n">
        <f aca="false">P8+P9+P11</f>
        <v>254650.28</v>
      </c>
    </row>
    <row r="13" customFormat="false" ht="15" hidden="false" customHeight="false" outlineLevel="0" collapsed="false">
      <c r="A13" s="4" t="s">
        <v>90</v>
      </c>
      <c r="B13" s="4" t="s">
        <v>91</v>
      </c>
      <c r="C13" s="4" t="s">
        <v>73</v>
      </c>
      <c r="D13" s="4" t="s">
        <v>92</v>
      </c>
      <c r="E13" s="16" t="n">
        <v>12</v>
      </c>
      <c r="F13" s="17" t="n">
        <v>188.12</v>
      </c>
      <c r="G13" s="12" t="n">
        <v>3429.23</v>
      </c>
      <c r="H13" s="12" t="n">
        <v>2257.44</v>
      </c>
      <c r="I13" s="12" t="n">
        <v>-1171.79</v>
      </c>
      <c r="J13" s="18" t="n">
        <f aca="false">IF(G13=0,0,I13/G13)</f>
        <v>-0.34170644721993</v>
      </c>
      <c r="K13" s="12" t="n">
        <v>0</v>
      </c>
      <c r="L13" s="18" t="n">
        <f aca="false">H13/$B$53</f>
        <v>0.0088648636082395</v>
      </c>
      <c r="N13" s="4" t="s">
        <v>93</v>
      </c>
      <c r="O13" s="18" t="n">
        <f aca="false">O11/(O8+O9/2)</f>
        <v>0.094092542640776</v>
      </c>
      <c r="P13" s="18" t="n">
        <f aca="false">P11/(P8+P9/2)</f>
        <v>-0.0413985104190025</v>
      </c>
    </row>
    <row r="14" customFormat="false" ht="15" hidden="false" customHeight="false" outlineLevel="0" collapsed="false">
      <c r="A14" s="4" t="s">
        <v>94</v>
      </c>
      <c r="B14" s="4" t="s">
        <v>95</v>
      </c>
      <c r="C14" s="4" t="s">
        <v>73</v>
      </c>
      <c r="D14" s="4" t="s">
        <v>96</v>
      </c>
      <c r="E14" s="16" t="n">
        <v>130</v>
      </c>
      <c r="F14" s="17" t="n">
        <v>29.58</v>
      </c>
      <c r="G14" s="12" t="n">
        <v>5495</v>
      </c>
      <c r="H14" s="12" t="n">
        <v>3845.4</v>
      </c>
      <c r="I14" s="12" t="n">
        <v>-1649.6</v>
      </c>
      <c r="J14" s="18" t="n">
        <f aca="false">IF(G14=0,0,I14/G14)</f>
        <v>-0.300200181983622</v>
      </c>
      <c r="K14" s="12" t="n">
        <v>0</v>
      </c>
      <c r="L14" s="18" t="n">
        <f aca="false">H14/$B$53</f>
        <v>0.0151007098833742</v>
      </c>
      <c r="N14" s="4" t="s">
        <v>97</v>
      </c>
      <c r="O14" s="12" t="n">
        <v>-5900.89</v>
      </c>
      <c r="P14" s="12" t="n">
        <v>-9503.93</v>
      </c>
    </row>
    <row r="15" customFormat="false" ht="15" hidden="false" customHeight="false" outlineLevel="0" collapsed="false">
      <c r="A15" s="4" t="s">
        <v>98</v>
      </c>
      <c r="B15" s="4" t="s">
        <v>98</v>
      </c>
      <c r="C15" s="4" t="s">
        <v>73</v>
      </c>
      <c r="D15" s="4" t="s">
        <v>74</v>
      </c>
      <c r="E15" s="16" t="n">
        <v>20</v>
      </c>
      <c r="F15" s="17" t="n">
        <v>233.87</v>
      </c>
      <c r="G15" s="12" t="n">
        <v>6400.4</v>
      </c>
      <c r="H15" s="12" t="n">
        <v>4677.4</v>
      </c>
      <c r="I15" s="12" t="n">
        <v>-1723</v>
      </c>
      <c r="J15" s="18" t="n">
        <f aca="false">IF(G15=0,0,I15/G15)</f>
        <v>-0.269201924879695</v>
      </c>
      <c r="K15" s="12" t="n">
        <v>135.2</v>
      </c>
      <c r="L15" s="18" t="n">
        <f aca="false">H15/$B$53</f>
        <v>0.0183679358216296</v>
      </c>
      <c r="N15" s="4" t="s">
        <v>99</v>
      </c>
      <c r="O15" s="12" t="n">
        <v>-9733.23</v>
      </c>
      <c r="P15" s="12" t="n">
        <v>-65364.4</v>
      </c>
    </row>
    <row r="16" customFormat="false" ht="15" hidden="false" customHeight="false" outlineLevel="0" collapsed="false">
      <c r="A16" s="4" t="s">
        <v>100</v>
      </c>
      <c r="B16" s="4" t="s">
        <v>101</v>
      </c>
      <c r="C16" s="4" t="s">
        <v>73</v>
      </c>
      <c r="D16" s="4" t="s">
        <v>85</v>
      </c>
      <c r="E16" s="16" t="n">
        <v>7</v>
      </c>
      <c r="F16" s="17" t="n">
        <v>204.7</v>
      </c>
      <c r="G16" s="12" t="n">
        <v>1544.54</v>
      </c>
      <c r="H16" s="12" t="n">
        <v>1432.9</v>
      </c>
      <c r="I16" s="12" t="n">
        <v>-111.64</v>
      </c>
      <c r="J16" s="18" t="n">
        <f aca="false">IF(G16=0,0,I16/G16)</f>
        <v>-0.0722804200603416</v>
      </c>
      <c r="K16" s="12" t="n">
        <v>35</v>
      </c>
      <c r="L16" s="18" t="n">
        <f aca="false">H16/$B$53</f>
        <v>0.00562693274870933</v>
      </c>
      <c r="N16" s="4" t="s">
        <v>102</v>
      </c>
      <c r="O16" s="12" t="n">
        <v>24245.34</v>
      </c>
      <c r="P16" s="12" t="n">
        <v>27543.59</v>
      </c>
    </row>
    <row r="17" customFormat="false" ht="15" hidden="false" customHeight="false" outlineLevel="0" collapsed="false">
      <c r="A17" s="4" t="s">
        <v>103</v>
      </c>
      <c r="B17" s="4" t="s">
        <v>104</v>
      </c>
      <c r="C17" s="4" t="s">
        <v>73</v>
      </c>
      <c r="D17" s="4" t="s">
        <v>74</v>
      </c>
      <c r="E17" s="16" t="n">
        <v>15</v>
      </c>
      <c r="F17" s="17" t="n">
        <v>572.34</v>
      </c>
      <c r="G17" s="12" t="n">
        <v>9080.11</v>
      </c>
      <c r="H17" s="12" t="n">
        <v>8585.1</v>
      </c>
      <c r="I17" s="12" t="n">
        <v>-495.01</v>
      </c>
      <c r="J17" s="18" t="n">
        <f aca="false">IF(G17=0,0,I17/G17)</f>
        <v>-0.0545158593893686</v>
      </c>
      <c r="K17" s="12" t="n">
        <v>31.5</v>
      </c>
      <c r="L17" s="18" t="n">
        <f aca="false">H17/$B$53</f>
        <v>0.0337132949549476</v>
      </c>
      <c r="N17" s="4" t="s">
        <v>105</v>
      </c>
      <c r="O17" s="12" t="n">
        <v>16443.72</v>
      </c>
      <c r="P17" s="12" t="n">
        <v>16443.72</v>
      </c>
    </row>
    <row r="18" customFormat="false" ht="15" hidden="false" customHeight="false" outlineLevel="0" collapsed="false">
      <c r="A18" s="4" t="s">
        <v>106</v>
      </c>
      <c r="B18" s="4" t="s">
        <v>107</v>
      </c>
      <c r="C18" s="4" t="s">
        <v>73</v>
      </c>
      <c r="D18" s="4" t="s">
        <v>108</v>
      </c>
      <c r="E18" s="16" t="n">
        <v>5</v>
      </c>
      <c r="F18" s="17" t="n">
        <v>958.73</v>
      </c>
      <c r="G18" s="12" t="n">
        <v>4612.3</v>
      </c>
      <c r="H18" s="12" t="n">
        <v>4793.65</v>
      </c>
      <c r="I18" s="12" t="n">
        <v>181.35</v>
      </c>
      <c r="J18" s="18" t="n">
        <f aca="false">IF(G18=0,0,I18/G18)</f>
        <v>0.0393187780499968</v>
      </c>
      <c r="K18" s="12" t="n">
        <v>3</v>
      </c>
      <c r="L18" s="18" t="n">
        <f aca="false">H18/$B$53</f>
        <v>0.0188244442535072</v>
      </c>
    </row>
    <row r="19" customFormat="false" ht="15" hidden="false" customHeight="false" outlineLevel="0" collapsed="false">
      <c r="A19" s="4" t="s">
        <v>109</v>
      </c>
      <c r="B19" s="4" t="s">
        <v>110</v>
      </c>
      <c r="C19" s="4" t="s">
        <v>73</v>
      </c>
      <c r="D19" s="4" t="s">
        <v>81</v>
      </c>
      <c r="E19" s="16" t="n">
        <v>70</v>
      </c>
      <c r="F19" s="17" t="n">
        <v>206.32</v>
      </c>
      <c r="G19" s="12" t="n">
        <v>3232</v>
      </c>
      <c r="H19" s="12" t="n">
        <v>14442.4</v>
      </c>
      <c r="I19" s="12" t="n">
        <v>11210.4</v>
      </c>
      <c r="J19" s="18" t="n">
        <f aca="false">IF(G19=0,0,I19/G19)</f>
        <v>3.46856435643564</v>
      </c>
      <c r="K19" s="12" t="n">
        <v>0</v>
      </c>
      <c r="L19" s="18" t="n">
        <f aca="false">H19/$B$53</f>
        <v>0.0567146440993507</v>
      </c>
    </row>
    <row r="20" customFormat="false" ht="15" hidden="false" customHeight="false" outlineLevel="0" collapsed="false">
      <c r="A20" s="4" t="s">
        <v>111</v>
      </c>
      <c r="B20" s="4" t="s">
        <v>112</v>
      </c>
      <c r="C20" s="4" t="s">
        <v>73</v>
      </c>
      <c r="D20" s="4" t="s">
        <v>108</v>
      </c>
      <c r="E20" s="16" t="n">
        <v>25</v>
      </c>
      <c r="F20" s="17" t="n">
        <v>220.78</v>
      </c>
      <c r="G20" s="12" t="n">
        <v>3222.75</v>
      </c>
      <c r="H20" s="12" t="n">
        <v>5519.5</v>
      </c>
      <c r="I20" s="12" t="n">
        <v>2296.75</v>
      </c>
      <c r="J20" s="18" t="n">
        <f aca="false">IF(G20=0,0,I20/G20)</f>
        <v>0.712667752695679</v>
      </c>
      <c r="K20" s="12" t="n">
        <v>25</v>
      </c>
      <c r="L20" s="18" t="n">
        <f aca="false">H20/$B$53</f>
        <v>0.0216748239978373</v>
      </c>
    </row>
    <row r="21" customFormat="false" ht="15" hidden="false" customHeight="false" outlineLevel="0" collapsed="false">
      <c r="A21" s="4" t="s">
        <v>113</v>
      </c>
      <c r="B21" s="4" t="s">
        <v>114</v>
      </c>
      <c r="C21" s="4" t="s">
        <v>73</v>
      </c>
      <c r="D21" s="4" t="s">
        <v>115</v>
      </c>
      <c r="E21" s="16" t="n">
        <v>300</v>
      </c>
      <c r="F21" s="17" t="n">
        <v>40.57</v>
      </c>
      <c r="G21" s="12" t="n">
        <v>9938.24</v>
      </c>
      <c r="H21" s="12" t="n">
        <v>12171</v>
      </c>
      <c r="I21" s="12" t="n">
        <v>2232.76</v>
      </c>
      <c r="J21" s="18" t="n">
        <f aca="false">IF(G21=0,0,I21/G21)</f>
        <v>0.224663521911324</v>
      </c>
      <c r="K21" s="12" t="n">
        <v>0</v>
      </c>
      <c r="L21" s="18" t="n">
        <f aca="false">H21/$B$53</f>
        <v>0.0477949602097433</v>
      </c>
    </row>
    <row r="22" customFormat="false" ht="15" hidden="false" customHeight="false" outlineLevel="0" collapsed="false">
      <c r="A22" s="4" t="s">
        <v>116</v>
      </c>
      <c r="B22" s="4" t="s">
        <v>117</v>
      </c>
      <c r="C22" s="4" t="s">
        <v>73</v>
      </c>
      <c r="D22" s="4" t="s">
        <v>118</v>
      </c>
      <c r="E22" s="16" t="n">
        <v>100</v>
      </c>
      <c r="F22" s="17" t="n">
        <v>7.655</v>
      </c>
      <c r="G22" s="12" t="n">
        <v>864</v>
      </c>
      <c r="H22" s="12" t="n">
        <v>765.5</v>
      </c>
      <c r="I22" s="12" t="n">
        <v>-98.5</v>
      </c>
      <c r="J22" s="18" t="n">
        <f aca="false">IF(G22=0,0,I22/G22)</f>
        <v>-0.11400462962963</v>
      </c>
      <c r="K22" s="12" t="n">
        <v>0</v>
      </c>
      <c r="L22" s="18" t="n">
        <f aca="false">H22/$B$53</f>
        <v>0.00300608348045013</v>
      </c>
    </row>
    <row r="23" customFormat="false" ht="15" hidden="false" customHeight="false" outlineLevel="0" collapsed="false">
      <c r="A23" s="4" t="s">
        <v>119</v>
      </c>
      <c r="B23" s="4" t="s">
        <v>120</v>
      </c>
      <c r="C23" s="4" t="s">
        <v>73</v>
      </c>
      <c r="D23" s="4" t="s">
        <v>96</v>
      </c>
      <c r="E23" s="16" t="n">
        <v>200</v>
      </c>
      <c r="F23" s="17" t="n">
        <v>29.96</v>
      </c>
      <c r="G23" s="12" t="n">
        <v>2800</v>
      </c>
      <c r="H23" s="12" t="n">
        <v>5992</v>
      </c>
      <c r="I23" s="12" t="n">
        <v>3192</v>
      </c>
      <c r="J23" s="18" t="n">
        <f aca="false">IF(G23=0,0,I23/G23)</f>
        <v>1.14</v>
      </c>
      <c r="K23" s="12" t="n">
        <v>0</v>
      </c>
      <c r="L23" s="18" t="n">
        <f aca="false">H23/$B$53</f>
        <v>0.0235303098822432</v>
      </c>
    </row>
    <row r="24" customFormat="false" ht="15" hidden="false" customHeight="false" outlineLevel="0" collapsed="false">
      <c r="A24" s="4" t="s">
        <v>121</v>
      </c>
      <c r="B24" s="4" t="s">
        <v>122</v>
      </c>
      <c r="C24" s="4" t="s">
        <v>73</v>
      </c>
      <c r="D24" s="4" t="s">
        <v>123</v>
      </c>
      <c r="E24" s="16" t="n">
        <v>60</v>
      </c>
      <c r="F24" s="17" t="n">
        <v>186.38</v>
      </c>
      <c r="G24" s="12" t="n">
        <v>5575.14</v>
      </c>
      <c r="H24" s="12" t="n">
        <v>11182.8</v>
      </c>
      <c r="I24" s="12" t="n">
        <v>5607.66</v>
      </c>
      <c r="J24" s="18" t="n">
        <f aca="false">IF(G24=0,0,I24/G24)</f>
        <v>1.00583303737664</v>
      </c>
      <c r="K24" s="12" t="n">
        <v>0</v>
      </c>
      <c r="L24" s="18" t="n">
        <f aca="false">H24/$B$53</f>
        <v>0.0439143440172145</v>
      </c>
    </row>
    <row r="25" customFormat="false" ht="15" hidden="false" customHeight="false" outlineLevel="0" collapsed="false">
      <c r="A25" s="4" t="s">
        <v>124</v>
      </c>
      <c r="B25" s="4" t="s">
        <v>125</v>
      </c>
      <c r="C25" s="4" t="s">
        <v>73</v>
      </c>
      <c r="D25" s="4" t="s">
        <v>126</v>
      </c>
      <c r="E25" s="16" t="n">
        <v>150</v>
      </c>
      <c r="F25" s="17" t="n">
        <v>24.935</v>
      </c>
      <c r="G25" s="12" t="n">
        <v>1941</v>
      </c>
      <c r="H25" s="12" t="n">
        <v>3740.32</v>
      </c>
      <c r="I25" s="12" t="n">
        <v>1799.32</v>
      </c>
      <c r="J25" s="18" t="n">
        <f aca="false">IF(G25=0,0,I25/G25)</f>
        <v>0.927006697578568</v>
      </c>
      <c r="K25" s="12" t="n">
        <v>0</v>
      </c>
      <c r="L25" s="18" t="n">
        <f aca="false">H25/$B$53</f>
        <v>0.0146880655304993</v>
      </c>
    </row>
    <row r="26" customFormat="false" ht="15" hidden="false" customHeight="false" outlineLevel="0" collapsed="false">
      <c r="A26" s="4" t="s">
        <v>127</v>
      </c>
      <c r="B26" s="4" t="s">
        <v>128</v>
      </c>
      <c r="C26" s="4" t="s">
        <v>73</v>
      </c>
      <c r="D26" s="4" t="s">
        <v>129</v>
      </c>
      <c r="E26" s="16" t="n">
        <v>200</v>
      </c>
      <c r="F26" s="17" t="n">
        <v>0.766</v>
      </c>
      <c r="G26" s="12" t="n">
        <v>640</v>
      </c>
      <c r="H26" s="12" t="n">
        <v>153.18</v>
      </c>
      <c r="I26" s="12" t="n">
        <v>-486.82</v>
      </c>
      <c r="J26" s="18" t="n">
        <f aca="false">IF(G26=0,0,I26/G26)</f>
        <v>-0.76065625</v>
      </c>
      <c r="K26" s="12" t="n">
        <v>0</v>
      </c>
      <c r="L26" s="18" t="n">
        <f aca="false">H26/$B$53</f>
        <v>0.000601530852430243</v>
      </c>
    </row>
    <row r="27" customFormat="false" ht="15" hidden="false" customHeight="false" outlineLevel="0" collapsed="false">
      <c r="A27" s="4" t="s">
        <v>130</v>
      </c>
      <c r="B27" s="4" t="s">
        <v>131</v>
      </c>
      <c r="C27" s="4" t="s">
        <v>73</v>
      </c>
      <c r="D27" s="4" t="s">
        <v>129</v>
      </c>
      <c r="E27" s="16" t="n">
        <v>125</v>
      </c>
      <c r="F27" s="17" t="n">
        <v>15.66</v>
      </c>
      <c r="G27" s="12" t="n">
        <v>1887.08</v>
      </c>
      <c r="H27" s="12" t="n">
        <v>1957.5</v>
      </c>
      <c r="I27" s="12" t="n">
        <v>70.42</v>
      </c>
      <c r="J27" s="18" t="n">
        <f aca="false">IF(G27=0,0,I27/G27)</f>
        <v>0.0373169129024737</v>
      </c>
      <c r="K27" s="12" t="n">
        <v>0</v>
      </c>
      <c r="L27" s="18" t="n">
        <f aca="false">H27/$B$53</f>
        <v>0.00768701294968142</v>
      </c>
    </row>
    <row r="28" customFormat="false" ht="15" hidden="false" customHeight="false" outlineLevel="0" collapsed="false">
      <c r="A28" s="4" t="s">
        <v>132</v>
      </c>
      <c r="B28" s="4" t="s">
        <v>133</v>
      </c>
      <c r="C28" s="4" t="s">
        <v>73</v>
      </c>
      <c r="D28" s="4" t="s">
        <v>92</v>
      </c>
      <c r="E28" s="16" t="n">
        <v>410</v>
      </c>
      <c r="F28" s="17" t="n">
        <v>104.81</v>
      </c>
      <c r="G28" s="12" t="n">
        <v>20272.51</v>
      </c>
      <c r="H28" s="12" t="n">
        <v>42972.1</v>
      </c>
      <c r="I28" s="12" t="n">
        <v>22699.59</v>
      </c>
      <c r="J28" s="18" t="n">
        <f aca="false">IF(G28=0,0,I28/G28)</f>
        <v>1.11972271810447</v>
      </c>
      <c r="K28" s="12" t="n">
        <v>0</v>
      </c>
      <c r="L28" s="18" t="n">
        <f aca="false">H28/$B$53</f>
        <v>0.168749470842914</v>
      </c>
    </row>
    <row r="29" customFormat="false" ht="15" hidden="false" customHeight="false" outlineLevel="0" collapsed="false">
      <c r="A29" s="4" t="s">
        <v>134</v>
      </c>
      <c r="B29" s="4" t="s">
        <v>135</v>
      </c>
      <c r="C29" s="4" t="s">
        <v>73</v>
      </c>
      <c r="D29" s="4" t="s">
        <v>118</v>
      </c>
      <c r="E29" s="16" t="n">
        <v>100</v>
      </c>
      <c r="F29" s="17" t="n">
        <v>63.92</v>
      </c>
      <c r="G29" s="12" t="n">
        <v>8049.42</v>
      </c>
      <c r="H29" s="12" t="n">
        <v>6392</v>
      </c>
      <c r="I29" s="12" t="n">
        <v>-1657.42</v>
      </c>
      <c r="J29" s="18" t="n">
        <f aca="false">IF(G29=0,0,I29/G29)</f>
        <v>-0.205905518658487</v>
      </c>
      <c r="K29" s="12" t="n">
        <v>0</v>
      </c>
      <c r="L29" s="18" t="n">
        <f aca="false">H29/$B$53</f>
        <v>0.0251010915833275</v>
      </c>
    </row>
    <row r="30" customFormat="false" ht="15" hidden="false" customHeight="false" outlineLevel="0" collapsed="false">
      <c r="A30" s="4" t="s">
        <v>136</v>
      </c>
      <c r="B30" s="4" t="s">
        <v>137</v>
      </c>
      <c r="C30" s="4" t="s">
        <v>73</v>
      </c>
      <c r="D30" s="4" t="s">
        <v>108</v>
      </c>
      <c r="E30" s="16" t="n">
        <v>2</v>
      </c>
      <c r="F30" s="17" t="n">
        <v>1566.7</v>
      </c>
      <c r="G30" s="12" t="n">
        <v>3165.6</v>
      </c>
      <c r="H30" s="12" t="n">
        <v>3133.4</v>
      </c>
      <c r="I30" s="12" t="n">
        <v>-32.2</v>
      </c>
      <c r="J30" s="18" t="n">
        <f aca="false">IF(G30=0,0,I30/G30)</f>
        <v>-0.0101718473591104</v>
      </c>
      <c r="K30" s="12" t="n">
        <v>0</v>
      </c>
      <c r="L30" s="18" t="n">
        <f aca="false">H30/$B$53</f>
        <v>0.0123047184554441</v>
      </c>
    </row>
    <row r="31" customFormat="false" ht="15" hidden="false" customHeight="false" outlineLevel="0" collapsed="false">
      <c r="A31" s="4" t="s">
        <v>138</v>
      </c>
      <c r="B31" s="4" t="s">
        <v>139</v>
      </c>
      <c r="C31" s="4" t="s">
        <v>73</v>
      </c>
      <c r="D31" s="4" t="s">
        <v>123</v>
      </c>
      <c r="E31" s="16" t="n">
        <v>50</v>
      </c>
      <c r="F31" s="17" t="n">
        <v>147.99</v>
      </c>
      <c r="G31" s="12" t="n">
        <v>6776.5</v>
      </c>
      <c r="H31" s="12" t="n">
        <v>7399.5</v>
      </c>
      <c r="I31" s="12" t="n">
        <v>623</v>
      </c>
      <c r="J31" s="18" t="n">
        <f aca="false">IF(G31=0,0,I31/G31)</f>
        <v>0.0919353648638678</v>
      </c>
      <c r="K31" s="12" t="n">
        <v>0</v>
      </c>
      <c r="L31" s="18" t="n">
        <f aca="false">H31/$B$53</f>
        <v>0.0290574979929337</v>
      </c>
    </row>
    <row r="32" customFormat="false" ht="15" hidden="false" customHeight="false" outlineLevel="0" collapsed="false">
      <c r="A32" s="4" t="s">
        <v>140</v>
      </c>
      <c r="B32" s="4" t="s">
        <v>141</v>
      </c>
      <c r="C32" s="4" t="s">
        <v>73</v>
      </c>
      <c r="D32" s="4" t="s">
        <v>115</v>
      </c>
      <c r="E32" s="16" t="n">
        <v>1000</v>
      </c>
      <c r="F32" s="17" t="n">
        <v>1.429</v>
      </c>
      <c r="G32" s="12" t="n">
        <v>1572.49</v>
      </c>
      <c r="H32" s="12" t="n">
        <v>1429.01</v>
      </c>
      <c r="I32" s="12" t="n">
        <v>-143.48</v>
      </c>
      <c r="J32" s="18" t="n">
        <f aca="false">IF(G32=0,0,I32/G32)</f>
        <v>-0.0912438234901335</v>
      </c>
      <c r="K32" s="12" t="n">
        <v>0</v>
      </c>
      <c r="L32" s="18" t="n">
        <f aca="false">H32/$B$53</f>
        <v>0.00561165689666628</v>
      </c>
    </row>
    <row r="33" customFormat="false" ht="15" hidden="false" customHeight="false" outlineLevel="0" collapsed="false">
      <c r="A33" s="4" t="s">
        <v>142</v>
      </c>
      <c r="B33" s="4" t="s">
        <v>143</v>
      </c>
      <c r="C33" s="4" t="s">
        <v>73</v>
      </c>
      <c r="D33" s="4" t="s">
        <v>85</v>
      </c>
      <c r="E33" s="16" t="n">
        <v>30</v>
      </c>
      <c r="F33" s="17" t="n">
        <v>104.87</v>
      </c>
      <c r="G33" s="12" t="n">
        <v>1949.9</v>
      </c>
      <c r="H33" s="12" t="n">
        <v>3146.1</v>
      </c>
      <c r="I33" s="12" t="n">
        <v>1196.2</v>
      </c>
      <c r="J33" s="18" t="n">
        <f aca="false">IF(G33=0,0,I33/G33)</f>
        <v>0.613467357300374</v>
      </c>
      <c r="K33" s="12" t="n">
        <v>29.7</v>
      </c>
      <c r="L33" s="18" t="n">
        <f aca="false">H33/$B$53</f>
        <v>0.0123545907744535</v>
      </c>
    </row>
    <row r="34" customFormat="false" ht="15" hidden="false" customHeight="false" outlineLevel="0" collapsed="false">
      <c r="A34" s="4" t="s">
        <v>144</v>
      </c>
      <c r="B34" s="4" t="s">
        <v>145</v>
      </c>
      <c r="C34" s="4" t="s">
        <v>73</v>
      </c>
      <c r="D34" s="4" t="s">
        <v>81</v>
      </c>
      <c r="E34" s="16" t="n">
        <v>20</v>
      </c>
      <c r="F34" s="17" t="n">
        <v>18.92</v>
      </c>
      <c r="G34" s="12" t="n">
        <v>643</v>
      </c>
      <c r="H34" s="12" t="n">
        <v>378.4</v>
      </c>
      <c r="I34" s="12" t="n">
        <v>-264.6</v>
      </c>
      <c r="J34" s="18" t="n">
        <f aca="false">IF(G34=0,0,I34/G34)</f>
        <v>-0.411508553654743</v>
      </c>
      <c r="K34" s="12" t="n">
        <v>0</v>
      </c>
      <c r="L34" s="18" t="n">
        <f aca="false">H34/$B$53</f>
        <v>0.00148595948922577</v>
      </c>
    </row>
    <row r="35" customFormat="false" ht="15" hidden="false" customHeight="false" outlineLevel="0" collapsed="false">
      <c r="A35" s="4" t="s">
        <v>146</v>
      </c>
      <c r="B35" s="4" t="s">
        <v>147</v>
      </c>
      <c r="C35" s="4" t="s">
        <v>148</v>
      </c>
      <c r="D35" s="4" t="s">
        <v>149</v>
      </c>
      <c r="E35" s="16" t="n">
        <v>5</v>
      </c>
      <c r="F35" s="17" t="n">
        <v>716.76</v>
      </c>
      <c r="G35" s="12" t="n">
        <v>3689.4</v>
      </c>
      <c r="H35" s="12" t="n">
        <v>3583.8</v>
      </c>
      <c r="I35" s="12" t="n">
        <v>-105.6</v>
      </c>
      <c r="J35" s="18" t="n">
        <f aca="false">IF(G35=0,0,I35/G35)</f>
        <v>-0.0286225402504472</v>
      </c>
      <c r="K35" s="12" t="n">
        <v>15.17</v>
      </c>
      <c r="L35" s="18" t="n">
        <f aca="false">H35/$B$53</f>
        <v>0.014073418650865</v>
      </c>
    </row>
    <row r="36" customFormat="false" ht="15" hidden="false" customHeight="false" outlineLevel="0" collapsed="false">
      <c r="A36" s="4" t="s">
        <v>150</v>
      </c>
      <c r="B36" s="4" t="s">
        <v>151</v>
      </c>
      <c r="C36" s="4" t="s">
        <v>148</v>
      </c>
      <c r="D36" s="4" t="s">
        <v>152</v>
      </c>
      <c r="E36" s="16" t="n">
        <v>300</v>
      </c>
      <c r="F36" s="17" t="n">
        <v>53.65</v>
      </c>
      <c r="G36" s="12" t="n">
        <v>14617.79</v>
      </c>
      <c r="H36" s="12" t="n">
        <v>16095</v>
      </c>
      <c r="I36" s="12" t="n">
        <v>1477.21</v>
      </c>
      <c r="J36" s="18" t="n">
        <f aca="false">IF(G36=0,0,I36/G36)</f>
        <v>0.101055631528432</v>
      </c>
      <c r="K36" s="12" t="n">
        <v>1900.2</v>
      </c>
      <c r="L36" s="18" t="n">
        <f aca="false">H36/$B$53</f>
        <v>0.0632043286973806</v>
      </c>
    </row>
    <row r="37" customFormat="false" ht="15" hidden="false" customHeight="false" outlineLevel="0" collapsed="false">
      <c r="A37" s="4" t="s">
        <v>153</v>
      </c>
      <c r="B37" s="4" t="s">
        <v>154</v>
      </c>
      <c r="C37" s="4" t="s">
        <v>148</v>
      </c>
      <c r="D37" s="4" t="s">
        <v>149</v>
      </c>
      <c r="E37" s="16" t="n">
        <v>100</v>
      </c>
      <c r="F37" s="17" t="n">
        <v>34.89</v>
      </c>
      <c r="G37" s="12" t="n">
        <v>2609.9</v>
      </c>
      <c r="H37" s="12" t="n">
        <v>3489</v>
      </c>
      <c r="I37" s="12" t="n">
        <v>879.1</v>
      </c>
      <c r="J37" s="18" t="n">
        <f aca="false">IF(G37=0,0,I37/G37)</f>
        <v>0.336832828844017</v>
      </c>
      <c r="K37" s="12" t="n">
        <v>104.8</v>
      </c>
      <c r="L37" s="18" t="n">
        <f aca="false">H37/$B$53</f>
        <v>0.013701143387708</v>
      </c>
    </row>
    <row r="38" customFormat="false" ht="15" hidden="false" customHeight="false" outlineLevel="0" collapsed="false">
      <c r="A38" s="4" t="s">
        <v>155</v>
      </c>
      <c r="B38" s="4" t="s">
        <v>156</v>
      </c>
      <c r="C38" s="4" t="s">
        <v>148</v>
      </c>
      <c r="D38" s="4" t="s">
        <v>149</v>
      </c>
      <c r="E38" s="16" t="n">
        <v>149</v>
      </c>
      <c r="F38" s="17" t="n">
        <v>120.89</v>
      </c>
      <c r="G38" s="12" t="n">
        <v>15464.4</v>
      </c>
      <c r="H38" s="12" t="n">
        <v>18012.61</v>
      </c>
      <c r="I38" s="12" t="n">
        <v>2548.21</v>
      </c>
      <c r="J38" s="18" t="n">
        <f aca="false">IF(G38=0,0,I38/G38)</f>
        <v>0.164779105558573</v>
      </c>
      <c r="K38" s="12" t="n">
        <v>85.97</v>
      </c>
      <c r="L38" s="18" t="n">
        <f aca="false">H38/$B$53</f>
        <v>0.0707346954419214</v>
      </c>
    </row>
    <row r="39" customFormat="false" ht="15" hidden="false" customHeight="false" outlineLevel="0" collapsed="false">
      <c r="A39" s="4" t="s">
        <v>157</v>
      </c>
      <c r="B39" s="4" t="s">
        <v>158</v>
      </c>
      <c r="C39" s="4" t="s">
        <v>148</v>
      </c>
      <c r="D39" s="4" t="s">
        <v>149</v>
      </c>
      <c r="E39" s="16" t="n">
        <v>3</v>
      </c>
      <c r="F39" s="17" t="n">
        <v>767.05</v>
      </c>
      <c r="G39" s="12" t="n">
        <v>1793.93</v>
      </c>
      <c r="H39" s="12" t="n">
        <v>2301.15</v>
      </c>
      <c r="I39" s="12" t="n">
        <v>507.22</v>
      </c>
      <c r="J39" s="18" t="n">
        <f aca="false">IF(G39=0,0,I39/G39)</f>
        <v>0.28274235895492</v>
      </c>
      <c r="K39" s="12" t="n">
        <v>22.58</v>
      </c>
      <c r="L39" s="18" t="n">
        <f aca="false">H39/$B$53</f>
        <v>0.00903651077862549</v>
      </c>
    </row>
    <row r="40" customFormat="false" ht="15" hidden="false" customHeight="false" outlineLevel="0" collapsed="false">
      <c r="A40" s="4" t="s">
        <v>159</v>
      </c>
      <c r="B40" s="4" t="s">
        <v>160</v>
      </c>
      <c r="C40" s="4" t="s">
        <v>148</v>
      </c>
      <c r="D40" s="4" t="s">
        <v>152</v>
      </c>
      <c r="E40" s="16" t="n">
        <v>600</v>
      </c>
      <c r="F40" s="17" t="n">
        <v>12.66</v>
      </c>
      <c r="G40" s="12" t="n">
        <v>9379.35</v>
      </c>
      <c r="H40" s="12" t="n">
        <v>7596</v>
      </c>
      <c r="I40" s="12" t="n">
        <v>-1783.35</v>
      </c>
      <c r="J40" s="18" t="n">
        <f aca="false">IF(G40=0,0,I40/G40)</f>
        <v>-0.190135776999472</v>
      </c>
      <c r="K40" s="12" t="n">
        <v>4332.6</v>
      </c>
      <c r="L40" s="18" t="n">
        <f aca="false">H40/$B$53</f>
        <v>0.0298291445035914</v>
      </c>
    </row>
    <row r="42" customFormat="false" ht="15" hidden="false" customHeight="false" outlineLevel="0" collapsed="false">
      <c r="B42" s="13" t="s">
        <v>161</v>
      </c>
      <c r="G42" s="20" t="n">
        <f aca="false">SUM(G8:G40)</f>
        <v>182343</v>
      </c>
      <c r="H42" s="20" t="n">
        <f aca="false">SUM(H8:H40)</f>
        <v>238206.56</v>
      </c>
      <c r="I42" s="20" t="n">
        <f aca="false">SUM(I8:I40)</f>
        <v>55863.56</v>
      </c>
      <c r="J42" s="21" t="n">
        <f aca="false">I42/G42</f>
        <v>0.306365256686574</v>
      </c>
      <c r="K42" s="20" t="n">
        <f aca="false">SUM(K8:K40)</f>
        <v>6959.12</v>
      </c>
      <c r="L42" s="21" t="n">
        <f aca="false">SUM(L8:L40)</f>
        <v>0.935426263815614</v>
      </c>
    </row>
    <row r="43" customFormat="false" ht="15" hidden="false" customHeight="false" outlineLevel="0" collapsed="false">
      <c r="B43" s="7" t="s">
        <v>162</v>
      </c>
    </row>
    <row r="44" customFormat="false" ht="15" hidden="false" customHeight="false" outlineLevel="0" collapsed="false">
      <c r="B44" s="4" t="s">
        <v>15</v>
      </c>
      <c r="I44" s="18" t="n">
        <f aca="false">SUMPRODUCT(LARGE(H8:H40,{1,2,3,4,5,6,7,8,9,10}))/H42</f>
        <v>0.641876991129044</v>
      </c>
    </row>
    <row r="45" customFormat="false" ht="15" hidden="false" customHeight="false" outlineLevel="0" collapsed="false">
      <c r="B45" s="4" t="s">
        <v>16</v>
      </c>
      <c r="I45" s="22" t="n">
        <f aca="false">1/SUMPRODUCT((H8:H40/H42)^2)</f>
        <v>15.3406120550532</v>
      </c>
    </row>
    <row r="47" customFormat="false" ht="15" hidden="false" customHeight="false" outlineLevel="0" collapsed="false">
      <c r="A47" s="13" t="s">
        <v>163</v>
      </c>
    </row>
    <row r="48" customFormat="false" ht="15" hidden="false" customHeight="false" outlineLevel="0" collapsed="false">
      <c r="A48" s="4" t="s">
        <v>164</v>
      </c>
      <c r="B48" s="6" t="n">
        <f aca="false">P17</f>
        <v>16443.72</v>
      </c>
    </row>
    <row r="49" customFormat="false" ht="15" hidden="false" customHeight="false" outlineLevel="0" collapsed="false">
      <c r="A49" s="4" t="s">
        <v>165</v>
      </c>
      <c r="B49" s="6" t="n">
        <f aca="false">P8</f>
        <v>214568.04</v>
      </c>
    </row>
    <row r="50" customFormat="false" ht="15" hidden="false" customHeight="false" outlineLevel="0" collapsed="false">
      <c r="A50" s="4" t="s">
        <v>166</v>
      </c>
      <c r="B50" s="6" t="n">
        <f aca="false">P9</f>
        <v>50000</v>
      </c>
    </row>
    <row r="51" customFormat="false" ht="15" hidden="false" customHeight="false" outlineLevel="0" collapsed="false">
      <c r="A51" s="4" t="s">
        <v>167</v>
      </c>
      <c r="B51" s="6" t="n">
        <f aca="false">P10</f>
        <v>4140.66</v>
      </c>
    </row>
    <row r="52" customFormat="false" ht="15" hidden="false" customHeight="false" outlineLevel="0" collapsed="false">
      <c r="A52" s="4" t="s">
        <v>168</v>
      </c>
      <c r="B52" s="6" t="n">
        <f aca="false">P11</f>
        <v>-9917.76</v>
      </c>
    </row>
    <row r="53" customFormat="false" ht="15" hidden="false" customHeight="false" outlineLevel="0" collapsed="false">
      <c r="A53" s="4" t="s">
        <v>169</v>
      </c>
      <c r="B53" s="6" t="n">
        <f aca="false">P12</f>
        <v>254650.28</v>
      </c>
    </row>
    <row r="54" customFormat="false" ht="15" hidden="false" customHeight="false" outlineLevel="0" collapsed="false">
      <c r="A54" s="4" t="s">
        <v>170</v>
      </c>
      <c r="B54" s="18" t="n">
        <f aca="false">P13</f>
        <v>-0.0413985104190025</v>
      </c>
    </row>
    <row r="55" customFormat="false" ht="15" hidden="false" customHeight="false" outlineLevel="0" collapsed="false">
      <c r="A55" s="4" t="s">
        <v>171</v>
      </c>
      <c r="B55" s="6" t="n">
        <f aca="false">P14</f>
        <v>-9503.93</v>
      </c>
    </row>
    <row r="57" customFormat="false" ht="15" hidden="false" customHeight="false" outlineLevel="0" collapsed="false">
      <c r="A57" s="13" t="s">
        <v>172</v>
      </c>
    </row>
    <row r="58" customFormat="false" ht="15" hidden="false" customHeight="false" outlineLevel="0" collapsed="false">
      <c r="A58" s="4" t="s">
        <v>173</v>
      </c>
      <c r="B58" s="12" t="n">
        <v>68998</v>
      </c>
    </row>
    <row r="59" customFormat="false" ht="15" hidden="false" customHeight="false" outlineLevel="0" collapsed="false">
      <c r="A59" s="4" t="s">
        <v>174</v>
      </c>
      <c r="B59" s="12" t="n">
        <v>70000</v>
      </c>
    </row>
    <row r="60" customFormat="false" ht="15" hidden="false" customHeight="false" outlineLevel="0" collapsed="false">
      <c r="A60" s="4" t="s">
        <v>175</v>
      </c>
      <c r="B60" s="12" t="n">
        <v>50000</v>
      </c>
    </row>
    <row r="61" customFormat="false" ht="15" hidden="false" customHeight="false" outlineLevel="0" collapsed="false">
      <c r="A61" s="4" t="s">
        <v>176</v>
      </c>
      <c r="B61" s="19" t="n">
        <f aca="false">SUM(B58:B60)</f>
        <v>188998</v>
      </c>
    </row>
    <row r="62" customFormat="false" ht="15" hidden="false" customHeight="false" outlineLevel="0" collapsed="false">
      <c r="A62" s="4" t="s">
        <v>177</v>
      </c>
      <c r="B62" s="6" t="n">
        <f aca="false">B53</f>
        <v>254650.28</v>
      </c>
    </row>
    <row r="63" customFormat="false" ht="15" hidden="false" customHeight="false" outlineLevel="0" collapsed="false">
      <c r="A63" s="4" t="s">
        <v>178</v>
      </c>
      <c r="B63" s="6" t="n">
        <f aca="false">B62-B61</f>
        <v>65652.28</v>
      </c>
    </row>
    <row r="64" customFormat="false" ht="15" hidden="false" customHeight="false" outlineLevel="0" collapsed="false">
      <c r="A64" s="4" t="s">
        <v>179</v>
      </c>
      <c r="B64" s="18" t="n">
        <f aca="false">B63/B61</f>
        <v>0.347370236722082</v>
      </c>
    </row>
    <row r="66" customFormat="false" ht="15" hidden="false" customHeight="false" outlineLevel="0" collapsed="false">
      <c r="A66" s="13" t="s">
        <v>180</v>
      </c>
    </row>
    <row r="67" customFormat="false" ht="26.85" hidden="false" customHeight="false" outlineLevel="0" collapsed="false">
      <c r="A67" s="3" t="s">
        <v>181</v>
      </c>
      <c r="B67" s="3" t="s">
        <v>182</v>
      </c>
      <c r="C67" s="3" t="s">
        <v>183</v>
      </c>
    </row>
    <row r="68" customFormat="false" ht="15" hidden="false" customHeight="false" outlineLevel="0" collapsed="false">
      <c r="A68" s="4" t="s">
        <v>184</v>
      </c>
      <c r="B68" s="23" t="n">
        <v>0.068</v>
      </c>
      <c r="C68" s="24" t="n">
        <f aca="false">C69/(1+B69)</f>
        <v>194142.378288311</v>
      </c>
    </row>
    <row r="69" customFormat="false" ht="15" hidden="false" customHeight="false" outlineLevel="0" collapsed="false">
      <c r="A69" s="4" t="s">
        <v>185</v>
      </c>
      <c r="B69" s="23" t="n">
        <v>0.257</v>
      </c>
      <c r="C69" s="24" t="n">
        <f aca="false">C70/(1+B70)</f>
        <v>244036.969508406</v>
      </c>
    </row>
    <row r="70" customFormat="false" ht="15" hidden="false" customHeight="false" outlineLevel="0" collapsed="false">
      <c r="A70" s="4" t="s">
        <v>186</v>
      </c>
      <c r="B70" s="23" t="n">
        <v>0.069</v>
      </c>
      <c r="C70" s="24" t="n">
        <f aca="false">C71/(1+B71)</f>
        <v>260875.520404486</v>
      </c>
    </row>
    <row r="71" customFormat="false" ht="15" hidden="false" customHeight="false" outlineLevel="0" collapsed="false">
      <c r="A71" s="4" t="s">
        <v>187</v>
      </c>
      <c r="B71" s="23" t="n">
        <v>-0.119</v>
      </c>
      <c r="C71" s="24" t="n">
        <f aca="false">C72/(1+B72)</f>
        <v>229831.333476352</v>
      </c>
    </row>
    <row r="72" customFormat="false" ht="15" hidden="false" customHeight="false" outlineLevel="0" collapsed="false">
      <c r="A72" s="4" t="s">
        <v>188</v>
      </c>
      <c r="B72" s="23" t="n">
        <v>-0.066</v>
      </c>
      <c r="C72" s="24" t="n">
        <f aca="false">C73/(1+B73)</f>
        <v>214662.465466913</v>
      </c>
    </row>
    <row r="73" customFormat="false" ht="15" hidden="false" customHeight="false" outlineLevel="0" collapsed="false">
      <c r="A73" s="4" t="s">
        <v>189</v>
      </c>
      <c r="B73" s="23" t="n">
        <v>-0.02</v>
      </c>
      <c r="C73" s="24" t="n">
        <f aca="false">C74/(1+B74)</f>
        <v>210369.216157575</v>
      </c>
    </row>
    <row r="74" customFormat="false" ht="15" hidden="false" customHeight="false" outlineLevel="0" collapsed="false">
      <c r="A74" s="4" t="s">
        <v>190</v>
      </c>
      <c r="B74" s="23" t="n">
        <v>0.139</v>
      </c>
      <c r="C74" s="24" t="n">
        <f aca="false">C75/(1+B75)</f>
        <v>239610.537203478</v>
      </c>
    </row>
    <row r="75" customFormat="false" ht="15" hidden="false" customHeight="false" outlineLevel="0" collapsed="false">
      <c r="A75" s="4" t="s">
        <v>191</v>
      </c>
      <c r="B75" s="23" t="n">
        <v>-0.065</v>
      </c>
      <c r="C75" s="24" t="n">
        <f aca="false">C76/(1+B76)</f>
        <v>224035.852285252</v>
      </c>
    </row>
    <row r="76" customFormat="false" ht="15" hidden="false" customHeight="false" outlineLevel="0" collapsed="false">
      <c r="A76" s="4" t="s">
        <v>192</v>
      </c>
      <c r="B76" s="23" t="n">
        <v>0.117</v>
      </c>
      <c r="C76" s="24" t="n">
        <f aca="false">C77/(1+B77)</f>
        <v>250248.047002626</v>
      </c>
    </row>
    <row r="77" customFormat="false" ht="15" hidden="false" customHeight="false" outlineLevel="0" collapsed="false">
      <c r="A77" s="4" t="s">
        <v>193</v>
      </c>
      <c r="B77" s="23" t="n">
        <v>0.133</v>
      </c>
      <c r="C77" s="24" t="n">
        <f aca="false">C78/(1+B78)</f>
        <v>283531.037253976</v>
      </c>
    </row>
    <row r="78" customFormat="false" ht="15" hidden="false" customHeight="false" outlineLevel="0" collapsed="false">
      <c r="A78" s="4" t="s">
        <v>194</v>
      </c>
      <c r="B78" s="23" t="n">
        <v>-0.052</v>
      </c>
      <c r="C78" s="24" t="n">
        <f aca="false">C79/(1+B79)</f>
        <v>268787.423316769</v>
      </c>
    </row>
    <row r="79" customFormat="false" ht="15" hidden="false" customHeight="false" outlineLevel="0" collapsed="false">
      <c r="A79" s="4" t="s">
        <v>195</v>
      </c>
      <c r="B79" s="23" t="n">
        <v>-0.134</v>
      </c>
      <c r="C79" s="24" t="n">
        <f aca="false">C80/(1+B80)</f>
        <v>232769.908592322</v>
      </c>
    </row>
    <row r="80" customFormat="false" ht="15" hidden="false" customHeight="false" outlineLevel="0" collapsed="false">
      <c r="A80" s="4" t="s">
        <v>196</v>
      </c>
      <c r="B80" s="23" t="n">
        <v>0.094</v>
      </c>
      <c r="C80" s="24" t="n">
        <f aca="false">B53</f>
        <v>254650.28</v>
      </c>
    </row>
    <row r="81" customFormat="false" ht="15" hidden="false" customHeight="false" outlineLevel="0" collapsed="false">
      <c r="A81" s="7" t="s">
        <v>197</v>
      </c>
    </row>
    <row r="84" customFormat="false" ht="15" hidden="false" customHeight="false" outlineLevel="0" collapsed="false">
      <c r="A84" s="13" t="s">
        <v>198</v>
      </c>
      <c r="I84" s="13" t="s">
        <v>199</v>
      </c>
    </row>
    <row r="85" customFormat="false" ht="15" hidden="false" customHeight="false" outlineLevel="0" collapsed="false">
      <c r="A85" s="3" t="s">
        <v>200</v>
      </c>
      <c r="B85" s="3" t="s">
        <v>201</v>
      </c>
      <c r="C85" s="3" t="s">
        <v>202</v>
      </c>
      <c r="D85" s="3" t="s">
        <v>56</v>
      </c>
      <c r="E85" s="3" t="s">
        <v>60</v>
      </c>
      <c r="F85" s="3" t="s">
        <v>61</v>
      </c>
      <c r="G85" s="3" t="s">
        <v>203</v>
      </c>
      <c r="I85" s="13" t="s">
        <v>59</v>
      </c>
      <c r="K85" s="13" t="s">
        <v>63</v>
      </c>
      <c r="L85" s="13" t="s">
        <v>204</v>
      </c>
    </row>
    <row r="86" customFormat="false" ht="15" hidden="false" customHeight="false" outlineLevel="0" collapsed="false">
      <c r="A86" s="4" t="s">
        <v>205</v>
      </c>
      <c r="B86" s="4" t="s">
        <v>206</v>
      </c>
      <c r="C86" s="4" t="s">
        <v>117</v>
      </c>
      <c r="D86" s="4" t="s">
        <v>116</v>
      </c>
      <c r="E86" s="16" t="n">
        <v>100</v>
      </c>
      <c r="F86" s="25" t="n">
        <v>8.64</v>
      </c>
      <c r="G86" s="12" t="n">
        <v>-864</v>
      </c>
      <c r="I86" s="4" t="s">
        <v>92</v>
      </c>
      <c r="K86" s="6" t="n">
        <f aca="false">SUMIF($D$8:$D$40,I86,$H$8:$H$40)</f>
        <v>45229.54</v>
      </c>
      <c r="L86" s="18" t="n">
        <f aca="false">K86/$H$42</f>
        <v>0.189875291427742</v>
      </c>
    </row>
    <row r="87" customFormat="false" ht="15" hidden="false" customHeight="false" outlineLevel="0" collapsed="false">
      <c r="A87" s="4" t="s">
        <v>207</v>
      </c>
      <c r="B87" s="4" t="s">
        <v>208</v>
      </c>
      <c r="C87" s="4" t="s">
        <v>101</v>
      </c>
      <c r="D87" s="4" t="s">
        <v>100</v>
      </c>
      <c r="G87" s="12" t="n">
        <v>8.75</v>
      </c>
      <c r="I87" s="4" t="s">
        <v>74</v>
      </c>
      <c r="K87" s="6" t="n">
        <f aca="false">SUMIF($D$8:$D$40,I87,$H$8:$H$40)</f>
        <v>33833.8</v>
      </c>
      <c r="L87" s="18" t="n">
        <f aca="false">K87/$H$42</f>
        <v>0.142035550994062</v>
      </c>
    </row>
    <row r="88" customFormat="false" ht="15" hidden="false" customHeight="false" outlineLevel="0" collapsed="false">
      <c r="A88" s="4" t="s">
        <v>209</v>
      </c>
      <c r="B88" s="4" t="s">
        <v>208</v>
      </c>
      <c r="C88" s="4" t="s">
        <v>160</v>
      </c>
      <c r="D88" s="4" t="s">
        <v>159</v>
      </c>
      <c r="G88" s="12" t="n">
        <v>57.96</v>
      </c>
      <c r="I88" s="4" t="s">
        <v>149</v>
      </c>
      <c r="K88" s="6" t="n">
        <f aca="false">SUMIF($D$8:$D$40,I88,$H$8:$H$40)</f>
        <v>27386.56</v>
      </c>
      <c r="L88" s="18" t="n">
        <f aca="false">K88/$H$42</f>
        <v>0.114969797641173</v>
      </c>
    </row>
    <row r="89" customFormat="false" ht="15" hidden="false" customHeight="false" outlineLevel="0" collapsed="false">
      <c r="A89" s="4" t="s">
        <v>210</v>
      </c>
      <c r="B89" s="4" t="s">
        <v>208</v>
      </c>
      <c r="C89" s="4" t="s">
        <v>160</v>
      </c>
      <c r="D89" s="4" t="s">
        <v>159</v>
      </c>
      <c r="G89" s="12" t="n">
        <v>59.28</v>
      </c>
      <c r="I89" s="4" t="s">
        <v>152</v>
      </c>
      <c r="K89" s="6" t="n">
        <f aca="false">SUMIF($D$8:$D$40,I89,$H$8:$H$40)</f>
        <v>23691</v>
      </c>
      <c r="L89" s="18" t="n">
        <f aca="false">K89/$H$42</f>
        <v>0.0994556992888861</v>
      </c>
    </row>
    <row r="90" customFormat="false" ht="15" hidden="false" customHeight="false" outlineLevel="0" collapsed="false">
      <c r="A90" s="4" t="s">
        <v>211</v>
      </c>
      <c r="B90" s="4" t="s">
        <v>212</v>
      </c>
      <c r="C90" s="4" t="s">
        <v>213</v>
      </c>
      <c r="D90" s="4" t="s">
        <v>214</v>
      </c>
      <c r="E90" s="16" t="n">
        <v>40</v>
      </c>
      <c r="F90" s="25" t="n">
        <v>340.74</v>
      </c>
      <c r="G90" s="12" t="n">
        <v>13629.3</v>
      </c>
      <c r="I90" s="4" t="s">
        <v>81</v>
      </c>
      <c r="K90" s="6" t="n">
        <f aca="false">SUMIF($D$8:$D$40,I90,$H$8:$H$40)</f>
        <v>21427.4</v>
      </c>
      <c r="L90" s="18" t="n">
        <f aca="false">K90/$H$42</f>
        <v>0.0899530222845248</v>
      </c>
    </row>
    <row r="91" customFormat="false" ht="15" hidden="false" customHeight="false" outlineLevel="0" collapsed="false">
      <c r="A91" s="4" t="s">
        <v>211</v>
      </c>
      <c r="B91" s="4" t="s">
        <v>212</v>
      </c>
      <c r="C91" s="4" t="s">
        <v>215</v>
      </c>
      <c r="D91" s="4" t="s">
        <v>216</v>
      </c>
      <c r="E91" s="16" t="n">
        <v>750</v>
      </c>
      <c r="F91" s="25" t="n">
        <v>8.68</v>
      </c>
      <c r="G91" s="12" t="n">
        <v>6509.71</v>
      </c>
      <c r="I91" s="4" t="s">
        <v>123</v>
      </c>
      <c r="K91" s="6" t="n">
        <f aca="false">SUMIF($D$8:$D$40,I91,$H$8:$H$40)</f>
        <v>18582.3</v>
      </c>
      <c r="L91" s="18" t="n">
        <f aca="false">K91/$H$42</f>
        <v>0.078009186648764</v>
      </c>
    </row>
    <row r="92" customFormat="false" ht="15" hidden="false" customHeight="false" outlineLevel="0" collapsed="false">
      <c r="A92" s="4" t="s">
        <v>211</v>
      </c>
      <c r="B92" s="4" t="s">
        <v>212</v>
      </c>
      <c r="C92" s="4" t="s">
        <v>217</v>
      </c>
      <c r="D92" s="4" t="s">
        <v>218</v>
      </c>
      <c r="E92" s="16" t="n">
        <v>50</v>
      </c>
      <c r="F92" s="25" t="n">
        <v>77.81</v>
      </c>
      <c r="G92" s="12" t="n">
        <v>3890.4</v>
      </c>
      <c r="I92" s="4" t="s">
        <v>85</v>
      </c>
      <c r="K92" s="6" t="n">
        <f aca="false">SUMIF($D$8:$D$40,I92,$H$8:$H$40)</f>
        <v>18163.5</v>
      </c>
      <c r="L92" s="18" t="n">
        <f aca="false">K92/$H$42</f>
        <v>0.0762510486696924</v>
      </c>
    </row>
    <row r="93" customFormat="false" ht="15" hidden="false" customHeight="false" outlineLevel="0" collapsed="false">
      <c r="A93" s="4" t="s">
        <v>211</v>
      </c>
      <c r="B93" s="4" t="s">
        <v>212</v>
      </c>
      <c r="C93" s="4" t="s">
        <v>219</v>
      </c>
      <c r="D93" s="4" t="s">
        <v>220</v>
      </c>
      <c r="E93" s="16" t="n">
        <v>300</v>
      </c>
      <c r="F93" s="25" t="n">
        <v>0.72</v>
      </c>
      <c r="G93" s="12" t="n">
        <v>215.93</v>
      </c>
      <c r="I93" s="4" t="s">
        <v>115</v>
      </c>
      <c r="K93" s="6" t="n">
        <f aca="false">SUMIF($D$8:$D$40,I93,$H$8:$H$40)</f>
        <v>13600.01</v>
      </c>
      <c r="L93" s="18" t="n">
        <f aca="false">K93/$H$42</f>
        <v>0.0570933478910069</v>
      </c>
    </row>
    <row r="94" customFormat="false" ht="15" hidden="false" customHeight="false" outlineLevel="0" collapsed="false">
      <c r="A94" s="4" t="s">
        <v>211</v>
      </c>
      <c r="B94" s="4" t="s">
        <v>206</v>
      </c>
      <c r="C94" s="4" t="s">
        <v>72</v>
      </c>
      <c r="D94" s="4" t="s">
        <v>71</v>
      </c>
      <c r="E94" s="16" t="n">
        <v>10</v>
      </c>
      <c r="F94" s="25" t="n">
        <v>343.845</v>
      </c>
      <c r="G94" s="12" t="n">
        <v>-3438.45</v>
      </c>
      <c r="I94" s="4" t="s">
        <v>108</v>
      </c>
      <c r="K94" s="6" t="n">
        <f aca="false">SUMIF($D$8:$D$40,I94,$H$8:$H$40)</f>
        <v>13446.55</v>
      </c>
      <c r="L94" s="18" t="n">
        <f aca="false">K94/$H$42</f>
        <v>0.0564491171024005</v>
      </c>
    </row>
    <row r="95" customFormat="false" ht="15" hidden="false" customHeight="false" outlineLevel="0" collapsed="false">
      <c r="A95" s="4" t="s">
        <v>211</v>
      </c>
      <c r="B95" s="4" t="s">
        <v>206</v>
      </c>
      <c r="C95" s="4" t="s">
        <v>221</v>
      </c>
      <c r="D95" s="4" t="s">
        <v>103</v>
      </c>
      <c r="E95" s="16" t="n">
        <v>5</v>
      </c>
      <c r="F95" s="25" t="n">
        <v>566.855</v>
      </c>
      <c r="G95" s="12" t="n">
        <v>-2834.28</v>
      </c>
      <c r="I95" s="4" t="s">
        <v>96</v>
      </c>
      <c r="K95" s="6" t="n">
        <f aca="false">SUMIF($D$8:$D$40,I95,$H$8:$H$40)</f>
        <v>9837.4</v>
      </c>
      <c r="L95" s="18" t="n">
        <f aca="false">K95/$H$42</f>
        <v>0.0412977711445058</v>
      </c>
    </row>
    <row r="96" customFormat="false" ht="15" hidden="false" customHeight="false" outlineLevel="0" collapsed="false">
      <c r="A96" s="4" t="s">
        <v>211</v>
      </c>
      <c r="B96" s="4" t="s">
        <v>206</v>
      </c>
      <c r="C96" s="4" t="s">
        <v>77</v>
      </c>
      <c r="D96" s="4" t="s">
        <v>76</v>
      </c>
      <c r="E96" s="16" t="n">
        <v>10</v>
      </c>
      <c r="F96" s="25" t="n">
        <v>259.6499</v>
      </c>
      <c r="G96" s="12" t="n">
        <v>-2596.5</v>
      </c>
      <c r="I96" s="4" t="s">
        <v>118</v>
      </c>
      <c r="K96" s="6" t="n">
        <f aca="false">SUMIF($D$8:$D$40,I96,$H$8:$H$40)</f>
        <v>7157.5</v>
      </c>
      <c r="L96" s="18" t="n">
        <f aca="false">K96/$H$42</f>
        <v>0.0300474512540713</v>
      </c>
    </row>
    <row r="97" customFormat="false" ht="15" hidden="false" customHeight="false" outlineLevel="0" collapsed="false">
      <c r="A97" s="4" t="s">
        <v>222</v>
      </c>
      <c r="B97" s="4" t="s">
        <v>208</v>
      </c>
      <c r="C97" s="4" t="s">
        <v>151</v>
      </c>
      <c r="D97" s="4" t="s">
        <v>150</v>
      </c>
      <c r="G97" s="12" t="n">
        <v>162.69</v>
      </c>
      <c r="I97" s="4" t="s">
        <v>126</v>
      </c>
      <c r="K97" s="6" t="n">
        <f aca="false">SUMIF($D$8:$D$40,I97,$H$8:$H$40)</f>
        <v>3740.32</v>
      </c>
      <c r="L97" s="18" t="n">
        <f aca="false">K97/$H$42</f>
        <v>0.0157020024973284</v>
      </c>
    </row>
    <row r="98" customFormat="false" ht="15" hidden="false" customHeight="false" outlineLevel="0" collapsed="false">
      <c r="A98" s="4" t="s">
        <v>222</v>
      </c>
      <c r="B98" s="4" t="s">
        <v>208</v>
      </c>
      <c r="C98" s="4" t="s">
        <v>160</v>
      </c>
      <c r="D98" s="4" t="s">
        <v>159</v>
      </c>
      <c r="G98" s="12" t="n">
        <v>72</v>
      </c>
      <c r="I98" s="4" t="s">
        <v>129</v>
      </c>
      <c r="K98" s="6" t="n">
        <f aca="false">SUMIF($D$8:$D$40,I98,$H$8:$H$40)</f>
        <v>2110.68</v>
      </c>
      <c r="L98" s="18" t="n">
        <f aca="false">K98/$H$42</f>
        <v>0.00886071315584256</v>
      </c>
    </row>
    <row r="99" customFormat="false" ht="15" hidden="false" customHeight="false" outlineLevel="0" collapsed="false">
      <c r="A99" s="4" t="s">
        <v>223</v>
      </c>
      <c r="B99" s="4" t="s">
        <v>208</v>
      </c>
      <c r="C99" s="4" t="s">
        <v>160</v>
      </c>
      <c r="D99" s="4" t="s">
        <v>159</v>
      </c>
      <c r="G99" s="12" t="n">
        <v>55.68</v>
      </c>
    </row>
    <row r="100" customFormat="false" ht="15" hidden="false" customHeight="false" outlineLevel="0" collapsed="false">
      <c r="A100" s="4" t="s">
        <v>224</v>
      </c>
      <c r="B100" s="4" t="s">
        <v>225</v>
      </c>
      <c r="C100" s="4" t="s">
        <v>226</v>
      </c>
      <c r="D100" s="4"/>
      <c r="G100" s="12" t="n">
        <v>0.07</v>
      </c>
    </row>
    <row r="101" customFormat="false" ht="15" hidden="false" customHeight="false" outlineLevel="0" collapsed="false">
      <c r="C101" s="13" t="s">
        <v>227</v>
      </c>
      <c r="G101" s="19" t="n">
        <f aca="false">SUM(G86:G100)</f>
        <v>14928.54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6" min="4" style="0" width="14"/>
    <col collapsed="false" customWidth="true" hidden="false" outlineLevel="0" max="9" min="7" style="0" width="13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4" style="0" width="44"/>
    <col collapsed="false" customWidth="true" hidden="false" outlineLevel="0" max="15" min="15" style="0" width="16"/>
  </cols>
  <sheetData>
    <row r="1" customFormat="false" ht="17.35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229</v>
      </c>
    </row>
    <row r="8" customFormat="false" ht="26.85" hidden="false" customHeight="false" outlineLevel="0" collapsed="false">
      <c r="A8" s="3" t="s">
        <v>56</v>
      </c>
      <c r="B8" s="3" t="s">
        <v>57</v>
      </c>
      <c r="C8" s="3" t="s">
        <v>59</v>
      </c>
      <c r="D8" s="3" t="s">
        <v>60</v>
      </c>
      <c r="E8" s="3" t="s">
        <v>61</v>
      </c>
      <c r="F8" s="3" t="s">
        <v>63</v>
      </c>
      <c r="G8" s="3" t="s">
        <v>230</v>
      </c>
      <c r="H8" s="3" t="s">
        <v>204</v>
      </c>
      <c r="I8" s="3" t="s">
        <v>231</v>
      </c>
      <c r="N8" s="15" t="s">
        <v>232</v>
      </c>
      <c r="O8" s="15" t="s">
        <v>203</v>
      </c>
    </row>
    <row r="9" customFormat="false" ht="15" hidden="false" customHeight="false" outlineLevel="0" collapsed="false">
      <c r="A9" s="4" t="s">
        <v>76</v>
      </c>
      <c r="B9" s="4" t="s">
        <v>233</v>
      </c>
      <c r="C9" s="4" t="s">
        <v>74</v>
      </c>
      <c r="D9" s="16" t="n">
        <v>220</v>
      </c>
      <c r="E9" s="25" t="n">
        <v>271.58</v>
      </c>
      <c r="F9" s="12" t="n">
        <v>59747.6</v>
      </c>
      <c r="G9" s="12" t="n">
        <v>0</v>
      </c>
      <c r="H9" s="18" t="n">
        <f aca="false">F9/$F$58</f>
        <v>0.13657715623189</v>
      </c>
      <c r="I9" s="18" t="n">
        <f aca="false">F9/$O$10</f>
        <v>0.270898345880398</v>
      </c>
      <c r="N9" s="4" t="s">
        <v>234</v>
      </c>
      <c r="O9" s="12" t="n">
        <v>237113.93</v>
      </c>
    </row>
    <row r="10" customFormat="false" ht="15" hidden="false" customHeight="false" outlineLevel="0" collapsed="false">
      <c r="A10" s="4" t="s">
        <v>235</v>
      </c>
      <c r="B10" s="4" t="s">
        <v>236</v>
      </c>
      <c r="C10" s="4" t="s">
        <v>85</v>
      </c>
      <c r="D10" s="16" t="n">
        <v>50</v>
      </c>
      <c r="E10" s="25" t="n">
        <v>54.41</v>
      </c>
      <c r="F10" s="12" t="n">
        <v>2720.5</v>
      </c>
      <c r="G10" s="12" t="n">
        <v>0</v>
      </c>
      <c r="H10" s="18" t="n">
        <f aca="false">F10/$F$58</f>
        <v>0.00621879629522954</v>
      </c>
      <c r="I10" s="18" t="n">
        <f aca="false">F10/$O$10</f>
        <v>0.0123348711909369</v>
      </c>
      <c r="N10" s="4" t="s">
        <v>237</v>
      </c>
      <c r="O10" s="12" t="n">
        <v>220553.58</v>
      </c>
    </row>
    <row r="11" customFormat="false" ht="15" hidden="false" customHeight="false" outlineLevel="0" collapsed="false">
      <c r="A11" s="4" t="s">
        <v>238</v>
      </c>
      <c r="B11" s="4" t="s">
        <v>239</v>
      </c>
      <c r="C11" s="4" t="s">
        <v>92</v>
      </c>
      <c r="D11" s="16" t="n">
        <v>500</v>
      </c>
      <c r="E11" s="25" t="n">
        <v>1.31</v>
      </c>
      <c r="F11" s="12" t="n">
        <v>655</v>
      </c>
      <c r="G11" s="12" t="n">
        <v>0</v>
      </c>
      <c r="H11" s="18" t="n">
        <f aca="false">F11/$F$58</f>
        <v>0.00149726578694187</v>
      </c>
      <c r="I11" s="18" t="n">
        <f aca="false">F11/$O$10</f>
        <v>0.00296979990077695</v>
      </c>
      <c r="N11" s="4" t="s">
        <v>240</v>
      </c>
      <c r="O11" s="12" t="n">
        <v>437891.49</v>
      </c>
    </row>
    <row r="12" customFormat="false" ht="15" hidden="false" customHeight="false" outlineLevel="0" collapsed="false">
      <c r="A12" s="4" t="s">
        <v>83</v>
      </c>
      <c r="B12" s="4" t="s">
        <v>241</v>
      </c>
      <c r="C12" s="4" t="s">
        <v>85</v>
      </c>
      <c r="D12" s="16" t="n">
        <v>100</v>
      </c>
      <c r="E12" s="25" t="n">
        <v>29.21</v>
      </c>
      <c r="F12" s="12" t="n">
        <v>2921</v>
      </c>
      <c r="G12" s="12" t="n">
        <v>0</v>
      </c>
      <c r="H12" s="18" t="n">
        <f aca="false">F12/$F$58</f>
        <v>0.00667711963917129</v>
      </c>
      <c r="I12" s="18" t="n">
        <f aca="false">F12/$O$10</f>
        <v>0.0132439473437702</v>
      </c>
      <c r="N12" s="4" t="s">
        <v>242</v>
      </c>
      <c r="O12" s="12" t="n">
        <v>437464.08</v>
      </c>
    </row>
    <row r="13" customFormat="false" ht="15" hidden="false" customHeight="false" outlineLevel="0" collapsed="false">
      <c r="A13" s="4" t="s">
        <v>243</v>
      </c>
      <c r="B13" s="4" t="s">
        <v>244</v>
      </c>
      <c r="C13" s="4" t="s">
        <v>245</v>
      </c>
      <c r="D13" s="16" t="n">
        <v>102.25043</v>
      </c>
      <c r="E13" s="25" t="n">
        <v>196.83</v>
      </c>
      <c r="F13" s="12" t="n">
        <v>20125.95</v>
      </c>
      <c r="G13" s="12" t="n">
        <v>732.2</v>
      </c>
      <c r="H13" s="18" t="n">
        <f aca="false">F13/$F$58</f>
        <v>0.046005948648401</v>
      </c>
      <c r="I13" s="18" t="n">
        <f aca="false">F13/$O$10</f>
        <v>0.0912519760504454</v>
      </c>
      <c r="N13" s="4" t="s">
        <v>246</v>
      </c>
      <c r="O13" s="12" t="n">
        <v>-200777.56</v>
      </c>
    </row>
    <row r="14" customFormat="false" ht="15" hidden="false" customHeight="false" outlineLevel="0" collapsed="false">
      <c r="A14" s="4" t="s">
        <v>247</v>
      </c>
      <c r="B14" s="4" t="s">
        <v>248</v>
      </c>
      <c r="C14" s="4" t="s">
        <v>249</v>
      </c>
      <c r="D14" s="16" t="n">
        <v>250</v>
      </c>
      <c r="E14" s="25" t="n">
        <v>3.38</v>
      </c>
      <c r="F14" s="12" t="n">
        <v>845</v>
      </c>
      <c r="G14" s="12" t="n">
        <v>0</v>
      </c>
      <c r="H14" s="18" t="n">
        <f aca="false">F14/$F$58</f>
        <v>0.00193158716025325</v>
      </c>
      <c r="I14" s="18" t="n">
        <f aca="false">F14/$O$10</f>
        <v>0.00383126857428476</v>
      </c>
      <c r="N14" s="4" t="s">
        <v>250</v>
      </c>
      <c r="O14" s="12" t="n">
        <v>-216910.5</v>
      </c>
    </row>
    <row r="15" customFormat="false" ht="15" hidden="false" customHeight="false" outlineLevel="0" collapsed="false">
      <c r="A15" s="4" t="s">
        <v>251</v>
      </c>
      <c r="B15" s="4" t="s">
        <v>252</v>
      </c>
      <c r="C15" s="4" t="s">
        <v>249</v>
      </c>
      <c r="D15" s="16" t="n">
        <v>250</v>
      </c>
      <c r="E15" s="25" t="n">
        <v>0.0065</v>
      </c>
      <c r="F15" s="12" t="n">
        <v>1.63</v>
      </c>
      <c r="G15" s="12" t="n">
        <v>0</v>
      </c>
      <c r="H15" s="18" t="n">
        <f aca="false">F15/$F$58</f>
        <v>3.72602020261869E-006</v>
      </c>
      <c r="I15" s="18" t="n">
        <f aca="false">F15/$O$10</f>
        <v>7.39049440956705E-006</v>
      </c>
      <c r="N15" s="4" t="s">
        <v>253</v>
      </c>
      <c r="O15" s="12" t="n">
        <v>446.58</v>
      </c>
    </row>
    <row r="16" customFormat="false" ht="15" hidden="false" customHeight="false" outlineLevel="0" collapsed="false">
      <c r="A16" s="4" t="s">
        <v>254</v>
      </c>
      <c r="B16" s="4" t="s">
        <v>255</v>
      </c>
      <c r="C16" s="4" t="s">
        <v>126</v>
      </c>
      <c r="D16" s="16" t="n">
        <v>100</v>
      </c>
      <c r="E16" s="25" t="n">
        <v>26.91</v>
      </c>
      <c r="F16" s="12" t="n">
        <v>2691</v>
      </c>
      <c r="G16" s="12" t="n">
        <v>0</v>
      </c>
      <c r="H16" s="18" t="n">
        <f aca="false">F16/$F$58</f>
        <v>0.00615136218726804</v>
      </c>
      <c r="I16" s="18" t="n">
        <f aca="false">F16/$O$10</f>
        <v>0.0122011168442607</v>
      </c>
      <c r="N16" s="4" t="s">
        <v>256</v>
      </c>
      <c r="O16" s="12" t="n">
        <v>3676.77</v>
      </c>
    </row>
    <row r="17" customFormat="false" ht="15" hidden="false" customHeight="false" outlineLevel="0" collapsed="false">
      <c r="A17" s="4" t="s">
        <v>257</v>
      </c>
      <c r="B17" s="4" t="s">
        <v>258</v>
      </c>
      <c r="C17" s="4" t="s">
        <v>118</v>
      </c>
      <c r="D17" s="16" t="n">
        <v>100</v>
      </c>
      <c r="E17" s="25" t="n">
        <v>20.33</v>
      </c>
      <c r="F17" s="12" t="n">
        <v>2033</v>
      </c>
      <c r="G17" s="12" t="n">
        <v>0</v>
      </c>
      <c r="H17" s="18" t="n">
        <f aca="false">F17/$F$58</f>
        <v>0.00464723869443178</v>
      </c>
      <c r="I17" s="18" t="n">
        <f aca="false">F17/$O$10</f>
        <v>0.00921771480653363</v>
      </c>
      <c r="N17" s="4" t="s">
        <v>259</v>
      </c>
      <c r="O17" s="12" t="n">
        <v>731.94</v>
      </c>
    </row>
    <row r="18" customFormat="false" ht="15" hidden="false" customHeight="false" outlineLevel="0" collapsed="false">
      <c r="A18" s="4" t="s">
        <v>260</v>
      </c>
      <c r="B18" s="4" t="s">
        <v>261</v>
      </c>
      <c r="C18" s="4" t="s">
        <v>262</v>
      </c>
      <c r="D18" s="16" t="n">
        <v>0.279515</v>
      </c>
      <c r="E18" s="25" t="n">
        <v>371.54</v>
      </c>
      <c r="F18" s="12" t="n">
        <v>103.85</v>
      </c>
      <c r="G18" s="12" t="n">
        <v>0</v>
      </c>
      <c r="H18" s="18" t="n">
        <f aca="false">F18/$F$58</f>
        <v>0.000237390919044142</v>
      </c>
      <c r="I18" s="18" t="n">
        <f aca="false">F18/$O$10</f>
        <v>0.000470860640756772</v>
      </c>
      <c r="N18" s="4" t="s">
        <v>263</v>
      </c>
      <c r="O18" s="12" t="n">
        <v>6.98</v>
      </c>
    </row>
    <row r="19" customFormat="false" ht="15" hidden="false" customHeight="false" outlineLevel="0" collapsed="false">
      <c r="A19" s="4" t="s">
        <v>264</v>
      </c>
      <c r="B19" s="4" t="s">
        <v>265</v>
      </c>
      <c r="C19" s="4" t="s">
        <v>115</v>
      </c>
      <c r="D19" s="16" t="n">
        <v>500</v>
      </c>
      <c r="E19" s="25" t="n">
        <v>2.27</v>
      </c>
      <c r="F19" s="12" t="n">
        <v>1135</v>
      </c>
      <c r="G19" s="12" t="n">
        <v>0</v>
      </c>
      <c r="H19" s="18" t="n">
        <f aca="false">F19/$F$58</f>
        <v>0.0025944987300443</v>
      </c>
      <c r="I19" s="18" t="n">
        <f aca="false">F19/$O$10</f>
        <v>0.00514614181279669</v>
      </c>
      <c r="N19" s="4" t="s">
        <v>266</v>
      </c>
      <c r="O19" s="12" t="n">
        <v>5.71</v>
      </c>
    </row>
    <row r="20" customFormat="false" ht="15" hidden="false" customHeight="false" outlineLevel="0" collapsed="false">
      <c r="A20" s="4" t="s">
        <v>71</v>
      </c>
      <c r="B20" s="4" t="s">
        <v>267</v>
      </c>
      <c r="C20" s="4" t="s">
        <v>74</v>
      </c>
      <c r="D20" s="16" t="n">
        <v>171.305341</v>
      </c>
      <c r="E20" s="25" t="n">
        <v>356.13</v>
      </c>
      <c r="F20" s="12" t="n">
        <v>61006.97</v>
      </c>
      <c r="G20" s="12" t="n">
        <v>154.01</v>
      </c>
      <c r="H20" s="18" t="n">
        <f aca="false">F20/$F$58</f>
        <v>0.139455952589296</v>
      </c>
      <c r="I20" s="18" t="n">
        <f aca="false">F20/$O$10</f>
        <v>0.27660838695069</v>
      </c>
      <c r="N20" s="4" t="s">
        <v>268</v>
      </c>
      <c r="O20" s="6" t="n">
        <f aca="false">SUMIF($B$67:$B$98,"Buy*",$G$67:$G$98)</f>
        <v>15860.27</v>
      </c>
    </row>
    <row r="21" customFormat="false" ht="15" hidden="false" customHeight="false" outlineLevel="0" collapsed="false">
      <c r="A21" s="4" t="s">
        <v>132</v>
      </c>
      <c r="B21" s="4" t="s">
        <v>133</v>
      </c>
      <c r="C21" s="4" t="s">
        <v>92</v>
      </c>
      <c r="D21" s="16" t="n">
        <v>150</v>
      </c>
      <c r="E21" s="25" t="n">
        <v>86.56</v>
      </c>
      <c r="F21" s="12" t="n">
        <v>12984</v>
      </c>
      <c r="G21" s="12" t="n">
        <v>0</v>
      </c>
      <c r="H21" s="18" t="n">
        <f aca="false">F21/$F$58</f>
        <v>0.0296801511109209</v>
      </c>
      <c r="I21" s="18" t="n">
        <f aca="false">F21/$O$10</f>
        <v>0.0588700487201341</v>
      </c>
      <c r="N21" s="4" t="s">
        <v>269</v>
      </c>
      <c r="O21" s="6" t="n">
        <f aca="false">O14-O13</f>
        <v>-16132.94</v>
      </c>
    </row>
    <row r="22" customFormat="false" ht="15" hidden="false" customHeight="false" outlineLevel="0" collapsed="false">
      <c r="A22" s="4" t="s">
        <v>98</v>
      </c>
      <c r="B22" s="4" t="s">
        <v>98</v>
      </c>
      <c r="C22" s="4" t="s">
        <v>74</v>
      </c>
      <c r="D22" s="16" t="n">
        <v>80</v>
      </c>
      <c r="E22" s="25" t="n">
        <v>223.65</v>
      </c>
      <c r="F22" s="12" t="n">
        <v>17892</v>
      </c>
      <c r="G22" s="12" t="n">
        <v>531.77</v>
      </c>
      <c r="H22" s="18" t="n">
        <f aca="false">F22/$F$58</f>
        <v>0.0408993579541433</v>
      </c>
      <c r="I22" s="18" t="n">
        <f aca="false">F22/$O$10</f>
        <v>0.081123144770536</v>
      </c>
      <c r="N22" s="4" t="s">
        <v>270</v>
      </c>
      <c r="O22" s="6" t="n">
        <f aca="false">-O20-O17+O15+O18+O19</f>
        <v>-16132.94</v>
      </c>
    </row>
    <row r="23" customFormat="false" ht="15" hidden="false" customHeight="false" outlineLevel="0" collapsed="false">
      <c r="A23" s="4" t="s">
        <v>271</v>
      </c>
      <c r="B23" s="4" t="s">
        <v>272</v>
      </c>
      <c r="C23" s="4" t="s">
        <v>115</v>
      </c>
      <c r="D23" s="16" t="n">
        <v>150</v>
      </c>
      <c r="E23" s="25" t="n">
        <v>4.91</v>
      </c>
      <c r="F23" s="12" t="n">
        <v>736.5</v>
      </c>
      <c r="G23" s="12" t="n">
        <v>0</v>
      </c>
      <c r="H23" s="18" t="n">
        <f aca="false">F23/$F$58</f>
        <v>0.0016835667970728</v>
      </c>
      <c r="I23" s="18" t="n">
        <f aca="false">F23/$O$10</f>
        <v>0.0033393246212553</v>
      </c>
      <c r="N23" s="4" t="s">
        <v>273</v>
      </c>
      <c r="O23" s="6" t="n">
        <f aca="false">O12-O11-O20</f>
        <v>-16287.68</v>
      </c>
    </row>
    <row r="24" customFormat="false" ht="15" hidden="false" customHeight="false" outlineLevel="0" collapsed="false">
      <c r="A24" s="4" t="s">
        <v>274</v>
      </c>
      <c r="B24" s="4" t="s">
        <v>275</v>
      </c>
      <c r="C24" s="4" t="s">
        <v>129</v>
      </c>
      <c r="D24" s="16" t="n">
        <v>200</v>
      </c>
      <c r="E24" s="25" t="n">
        <v>36.44</v>
      </c>
      <c r="F24" s="12" t="n">
        <v>7288</v>
      </c>
      <c r="G24" s="12" t="n">
        <v>0</v>
      </c>
      <c r="H24" s="18" t="n">
        <f aca="false">F24/$F$58</f>
        <v>0.0166596535194387</v>
      </c>
      <c r="I24" s="18" t="n">
        <f aca="false">F24/$O$10</f>
        <v>0.0330441246974998</v>
      </c>
      <c r="N24" s="4" t="s">
        <v>276</v>
      </c>
      <c r="O24" s="18" t="n">
        <f aca="false">(O23+O15)/O11</f>
        <v>-0.036175857174114</v>
      </c>
    </row>
    <row r="25" customFormat="false" ht="15" hidden="false" customHeight="false" outlineLevel="0" collapsed="false">
      <c r="A25" s="4" t="s">
        <v>277</v>
      </c>
      <c r="B25" s="4" t="s">
        <v>278</v>
      </c>
      <c r="C25" s="4" t="s">
        <v>81</v>
      </c>
      <c r="D25" s="16" t="n">
        <v>50</v>
      </c>
      <c r="E25" s="25" t="n">
        <v>36.8</v>
      </c>
      <c r="F25" s="12" t="n">
        <v>1840</v>
      </c>
      <c r="G25" s="12" t="n">
        <v>0</v>
      </c>
      <c r="H25" s="18" t="n">
        <f aca="false">F25/$F$58</f>
        <v>0.00420605961522601</v>
      </c>
      <c r="I25" s="18" t="n">
        <f aca="false">F25/$O$10</f>
        <v>0.00834264399607569</v>
      </c>
      <c r="N25" s="4" t="s">
        <v>279</v>
      </c>
      <c r="O25" s="6" t="n">
        <f aca="false">O10-O9-O18</f>
        <v>-16567.33</v>
      </c>
    </row>
    <row r="26" customFormat="false" ht="15" hidden="false" customHeight="false" outlineLevel="0" collapsed="false">
      <c r="A26" s="4" t="s">
        <v>280</v>
      </c>
      <c r="B26" s="4" t="s">
        <v>281</v>
      </c>
      <c r="C26" s="4" t="s">
        <v>152</v>
      </c>
      <c r="D26" s="16" t="n">
        <v>114.682582</v>
      </c>
      <c r="E26" s="25" t="n">
        <v>51.7583</v>
      </c>
      <c r="F26" s="12" t="n">
        <v>5935.78</v>
      </c>
      <c r="G26" s="12" t="n">
        <v>0</v>
      </c>
      <c r="H26" s="18" t="n">
        <f aca="false">F26/$F$58</f>
        <v>0.0135686111646012</v>
      </c>
      <c r="I26" s="18" t="n">
        <f aca="false">F26/$O$10</f>
        <v>0.0269130974886012</v>
      </c>
      <c r="N26" s="4" t="s">
        <v>282</v>
      </c>
      <c r="O26" s="18" t="n">
        <f aca="false">O25/(O9+O18/2)</f>
        <v>-0.0698697295205051</v>
      </c>
    </row>
    <row r="27" customFormat="false" ht="15" hidden="false" customHeight="false" outlineLevel="0" collapsed="false">
      <c r="A27" s="4" t="s">
        <v>283</v>
      </c>
      <c r="B27" s="4" t="s">
        <v>284</v>
      </c>
      <c r="C27" s="4" t="s">
        <v>85</v>
      </c>
      <c r="D27" s="16" t="n">
        <v>103.271847</v>
      </c>
      <c r="E27" s="25" t="n">
        <v>33.01</v>
      </c>
      <c r="F27" s="12" t="n">
        <v>3409</v>
      </c>
      <c r="G27" s="12" t="n">
        <v>103.75</v>
      </c>
      <c r="H27" s="18" t="n">
        <f aca="false">F27/$F$58</f>
        <v>0.0077926397979921</v>
      </c>
      <c r="I27" s="18" t="n">
        <f aca="false">F27/$O$10</f>
        <v>0.0154565616209902</v>
      </c>
      <c r="N27" s="4" t="s">
        <v>285</v>
      </c>
      <c r="O27" s="6" t="n">
        <f aca="false">-(O13+O14)/2</f>
        <v>208844.03</v>
      </c>
    </row>
    <row r="28" customFormat="false" ht="15" hidden="false" customHeight="false" outlineLevel="0" collapsed="false">
      <c r="A28" s="4" t="s">
        <v>87</v>
      </c>
      <c r="B28" s="4" t="s">
        <v>88</v>
      </c>
      <c r="C28" s="4" t="s">
        <v>85</v>
      </c>
      <c r="D28" s="16" t="n">
        <v>204.77904</v>
      </c>
      <c r="E28" s="25" t="n">
        <v>87.59</v>
      </c>
      <c r="F28" s="12" t="n">
        <v>17936.6</v>
      </c>
      <c r="G28" s="12" t="n">
        <v>418.82</v>
      </c>
      <c r="H28" s="18" t="n">
        <f aca="false">F28/$F$58</f>
        <v>0.0410013091817733</v>
      </c>
      <c r="I28" s="18" t="n">
        <f aca="false">F28/$O$10</f>
        <v>0.0813253632065279</v>
      </c>
      <c r="N28" s="4" t="s">
        <v>286</v>
      </c>
      <c r="O28" s="18" t="n">
        <f aca="false">O17*12/O27</f>
        <v>0.042056648686582</v>
      </c>
    </row>
    <row r="29" customFormat="false" ht="15" hidden="false" customHeight="false" outlineLevel="0" collapsed="false">
      <c r="A29" s="4" t="s">
        <v>287</v>
      </c>
      <c r="B29" s="4" t="s">
        <v>288</v>
      </c>
      <c r="C29" s="4" t="s">
        <v>126</v>
      </c>
      <c r="D29" s="16" t="n">
        <v>200</v>
      </c>
      <c r="E29" s="25" t="n">
        <v>2.87</v>
      </c>
      <c r="F29" s="12" t="n">
        <v>574</v>
      </c>
      <c r="G29" s="12" t="n">
        <v>0</v>
      </c>
      <c r="H29" s="18" t="n">
        <f aca="false">F29/$F$58</f>
        <v>0.00131210772779333</v>
      </c>
      <c r="I29" s="18" t="n">
        <f aca="false">F29/$O$10</f>
        <v>0.00260254220312361</v>
      </c>
      <c r="N29" s="4" t="s">
        <v>289</v>
      </c>
      <c r="O29" s="18" t="n">
        <f aca="false">O17*12</f>
        <v>8783.28</v>
      </c>
    </row>
    <row r="30" customFormat="false" ht="15" hidden="false" customHeight="false" outlineLevel="0" collapsed="false">
      <c r="A30" s="4" t="s">
        <v>290</v>
      </c>
      <c r="B30" s="4" t="s">
        <v>291</v>
      </c>
      <c r="C30" s="4" t="s">
        <v>81</v>
      </c>
      <c r="D30" s="16" t="n">
        <v>10</v>
      </c>
      <c r="E30" s="25" t="n">
        <v>713.94</v>
      </c>
      <c r="F30" s="12" t="n">
        <v>7139.4</v>
      </c>
      <c r="G30" s="12" t="n">
        <v>0</v>
      </c>
      <c r="H30" s="18" t="n">
        <f aca="false">F30/$F$58</f>
        <v>0.0163199684874699</v>
      </c>
      <c r="I30" s="18" t="n">
        <f aca="false">F30/$O$10</f>
        <v>0.0323703655139037</v>
      </c>
      <c r="N30" s="4" t="s">
        <v>292</v>
      </c>
      <c r="O30" s="8" t="n">
        <f aca="false">O12/O10</f>
        <v>1.98348210897325</v>
      </c>
    </row>
    <row r="31" customFormat="false" ht="15" hidden="false" customHeight="false" outlineLevel="0" collapsed="false">
      <c r="A31" s="4" t="s">
        <v>293</v>
      </c>
      <c r="B31" s="4" t="s">
        <v>294</v>
      </c>
      <c r="C31" s="4" t="s">
        <v>74</v>
      </c>
      <c r="D31" s="16" t="n">
        <v>49.333799</v>
      </c>
      <c r="E31" s="25" t="n">
        <v>464.72</v>
      </c>
      <c r="F31" s="12" t="n">
        <v>22926.4</v>
      </c>
      <c r="G31" s="12" t="n">
        <v>208.99</v>
      </c>
      <c r="H31" s="18" t="n">
        <f aca="false">F31/$F$58</f>
        <v>0.0524075028057161</v>
      </c>
      <c r="I31" s="18" t="n">
        <f aca="false">F31/$O$10</f>
        <v>0.103949344191103</v>
      </c>
      <c r="N31" s="4" t="s">
        <v>295</v>
      </c>
      <c r="O31" s="18" t="n">
        <f aca="false">O10/O12</f>
        <v>0.504163861864956</v>
      </c>
    </row>
    <row r="32" customFormat="false" ht="15" hidden="false" customHeight="false" outlineLevel="0" collapsed="false">
      <c r="A32" s="4" t="s">
        <v>106</v>
      </c>
      <c r="B32" s="4" t="s">
        <v>107</v>
      </c>
      <c r="C32" s="4" t="s">
        <v>108</v>
      </c>
      <c r="D32" s="16" t="n">
        <v>15.002217</v>
      </c>
      <c r="E32" s="25" t="n">
        <v>823.03</v>
      </c>
      <c r="F32" s="12" t="n">
        <v>12347.27</v>
      </c>
      <c r="G32" s="12" t="n">
        <v>8.27</v>
      </c>
      <c r="H32" s="18" t="n">
        <f aca="false">F32/$F$58</f>
        <v>0.0282246487528759</v>
      </c>
      <c r="I32" s="18" t="n">
        <f aca="false">F32/$O$10</f>
        <v>0.0559830858333834</v>
      </c>
      <c r="N32" s="4" t="s">
        <v>296</v>
      </c>
      <c r="O32" s="26" t="n">
        <v>0.3</v>
      </c>
    </row>
    <row r="33" customFormat="false" ht="15" hidden="false" customHeight="false" outlineLevel="0" collapsed="false">
      <c r="A33" s="4" t="s">
        <v>218</v>
      </c>
      <c r="B33" s="4" t="s">
        <v>297</v>
      </c>
      <c r="C33" s="4" t="s">
        <v>74</v>
      </c>
      <c r="D33" s="16" t="n">
        <v>70</v>
      </c>
      <c r="E33" s="25" t="n">
        <v>71.71</v>
      </c>
      <c r="F33" s="12" t="n">
        <v>5019.7</v>
      </c>
      <c r="G33" s="12" t="n">
        <v>0</v>
      </c>
      <c r="H33" s="18" t="n">
        <f aca="false">F33/$F$58</f>
        <v>0.0114745420926902</v>
      </c>
      <c r="I33" s="18" t="n">
        <f aca="false">F33/$O$10</f>
        <v>0.0227595489495115</v>
      </c>
      <c r="N33" s="4" t="s">
        <v>298</v>
      </c>
      <c r="O33" s="18" t="n">
        <f aca="false">1-(-O14)/(O12*(1-O32))</f>
        <v>0.29166265980708</v>
      </c>
    </row>
    <row r="34" customFormat="false" ht="15" hidden="false" customHeight="false" outlineLevel="0" collapsed="false">
      <c r="A34" s="4" t="s">
        <v>138</v>
      </c>
      <c r="B34" s="4" t="s">
        <v>139</v>
      </c>
      <c r="C34" s="4" t="s">
        <v>123</v>
      </c>
      <c r="D34" s="16" t="n">
        <v>50</v>
      </c>
      <c r="E34" s="25" t="n">
        <v>111.23</v>
      </c>
      <c r="F34" s="12" t="n">
        <v>5561.5</v>
      </c>
      <c r="G34" s="12" t="n">
        <v>0</v>
      </c>
      <c r="H34" s="18" t="n">
        <f aca="false">F34/$F$58</f>
        <v>0.0127130437772171</v>
      </c>
      <c r="I34" s="18" t="n">
        <f aca="false">F34/$O$10</f>
        <v>0.0252160948827038</v>
      </c>
    </row>
    <row r="35" customFormat="false" ht="15" hidden="false" customHeight="false" outlineLevel="0" collapsed="false">
      <c r="A35" s="4" t="s">
        <v>111</v>
      </c>
      <c r="B35" s="4" t="s">
        <v>112</v>
      </c>
      <c r="C35" s="4" t="s">
        <v>108</v>
      </c>
      <c r="D35" s="16" t="n">
        <v>100</v>
      </c>
      <c r="E35" s="25" t="n">
        <v>200.75</v>
      </c>
      <c r="F35" s="12" t="n">
        <v>20075</v>
      </c>
      <c r="G35" s="12" t="n">
        <v>29.58</v>
      </c>
      <c r="H35" s="18" t="n">
        <f aca="false">F35/$F$58</f>
        <v>0.0458894819432946</v>
      </c>
      <c r="I35" s="18" t="n">
        <f aca="false">F35/$O$10</f>
        <v>0.0910209664245758</v>
      </c>
    </row>
    <row r="36" customFormat="false" ht="15" hidden="false" customHeight="false" outlineLevel="0" collapsed="false">
      <c r="A36" s="4" t="s">
        <v>299</v>
      </c>
      <c r="B36" s="4" t="s">
        <v>300</v>
      </c>
      <c r="C36" s="4" t="s">
        <v>108</v>
      </c>
      <c r="D36" s="16" t="n">
        <v>200</v>
      </c>
      <c r="E36" s="25" t="n">
        <v>10.86</v>
      </c>
      <c r="F36" s="12" t="n">
        <v>2172</v>
      </c>
      <c r="G36" s="12" t="n">
        <v>0</v>
      </c>
      <c r="H36" s="18" t="n">
        <f aca="false">F36/$F$58</f>
        <v>0.00496497906753853</v>
      </c>
      <c r="I36" s="18" t="n">
        <f aca="false">F36/$O$10</f>
        <v>0.00984794715188935</v>
      </c>
    </row>
    <row r="37" customFormat="false" ht="15" hidden="false" customHeight="false" outlineLevel="0" collapsed="false">
      <c r="A37" s="4" t="s">
        <v>116</v>
      </c>
      <c r="B37" s="4" t="s">
        <v>117</v>
      </c>
      <c r="C37" s="4" t="s">
        <v>118</v>
      </c>
      <c r="D37" s="16" t="n">
        <v>400</v>
      </c>
      <c r="E37" s="25" t="n">
        <v>7.49</v>
      </c>
      <c r="F37" s="12" t="n">
        <v>2996</v>
      </c>
      <c r="G37" s="12" t="n">
        <v>0</v>
      </c>
      <c r="H37" s="18" t="n">
        <f aca="false">F37/$F$58</f>
        <v>0.00684856228653104</v>
      </c>
      <c r="I37" s="18" t="n">
        <f aca="false">F37/$O$10</f>
        <v>0.0135840007675232</v>
      </c>
    </row>
    <row r="38" customFormat="false" ht="15" hidden="false" customHeight="false" outlineLevel="0" collapsed="false">
      <c r="A38" s="4" t="s">
        <v>301</v>
      </c>
      <c r="B38" s="4" t="s">
        <v>302</v>
      </c>
      <c r="C38" s="4" t="s">
        <v>303</v>
      </c>
      <c r="D38" s="16" t="n">
        <v>201.806569</v>
      </c>
      <c r="E38" s="25" t="n">
        <v>17.38</v>
      </c>
      <c r="F38" s="12" t="n">
        <v>3507.4</v>
      </c>
      <c r="G38" s="12" t="n">
        <v>34.66</v>
      </c>
      <c r="H38" s="18" t="n">
        <f aca="false">F38/$F$58</f>
        <v>0.0080175725513281</v>
      </c>
      <c r="I38" s="18" t="n">
        <f aca="false">F38/$O$10</f>
        <v>0.0159027117129543</v>
      </c>
    </row>
    <row r="39" customFormat="false" ht="15" hidden="false" customHeight="false" outlineLevel="0" collapsed="false">
      <c r="A39" s="4" t="s">
        <v>304</v>
      </c>
      <c r="B39" s="4" t="s">
        <v>305</v>
      </c>
      <c r="C39" s="4" t="s">
        <v>129</v>
      </c>
      <c r="D39" s="16" t="n">
        <v>200.37512</v>
      </c>
      <c r="E39" s="25" t="n">
        <v>18.08</v>
      </c>
      <c r="F39" s="12" t="n">
        <v>3622.78</v>
      </c>
      <c r="G39" s="12" t="n">
        <v>0</v>
      </c>
      <c r="H39" s="18" t="n">
        <f aca="false">F39/$F$58</f>
        <v>0.00828131992002635</v>
      </c>
      <c r="I39" s="18" t="n">
        <f aca="false">F39/$O$10</f>
        <v>0.016425849900056</v>
      </c>
    </row>
    <row r="40" customFormat="false" ht="15" hidden="false" customHeight="false" outlineLevel="0" collapsed="false">
      <c r="A40" s="4" t="s">
        <v>306</v>
      </c>
      <c r="B40" s="4" t="s">
        <v>307</v>
      </c>
      <c r="C40" s="4" t="s">
        <v>152</v>
      </c>
      <c r="D40" s="16" t="n">
        <v>535.447444</v>
      </c>
      <c r="E40" s="25" t="n">
        <v>53.04</v>
      </c>
      <c r="F40" s="12" t="n">
        <v>28400.13</v>
      </c>
      <c r="G40" s="12" t="n">
        <v>155.04</v>
      </c>
      <c r="H40" s="18" t="n">
        <f aca="false">F40/$F$58</f>
        <v>0.064919912967483</v>
      </c>
      <c r="I40" s="18" t="n">
        <f aca="false">F40/$O$10</f>
        <v>0.128767485887103</v>
      </c>
    </row>
    <row r="41" customFormat="false" ht="15" hidden="false" customHeight="false" outlineLevel="0" collapsed="false">
      <c r="A41" s="4" t="s">
        <v>308</v>
      </c>
      <c r="B41" s="4" t="s">
        <v>309</v>
      </c>
      <c r="C41" s="4" t="s">
        <v>129</v>
      </c>
      <c r="D41" s="16" t="n">
        <v>100</v>
      </c>
      <c r="E41" s="25" t="n">
        <v>8.1</v>
      </c>
      <c r="F41" s="12" t="n">
        <v>810</v>
      </c>
      <c r="G41" s="12" t="n">
        <v>0</v>
      </c>
      <c r="H41" s="18" t="n">
        <f aca="false">F41/$F$58</f>
        <v>0.00185158059148536</v>
      </c>
      <c r="I41" s="18" t="n">
        <f aca="false">F41/$O$10</f>
        <v>0.00367257697653332</v>
      </c>
    </row>
    <row r="42" customFormat="false" ht="15" hidden="false" customHeight="false" outlineLevel="0" collapsed="false">
      <c r="A42" s="4" t="s">
        <v>310</v>
      </c>
      <c r="B42" s="4" t="s">
        <v>311</v>
      </c>
      <c r="C42" s="4" t="s">
        <v>118</v>
      </c>
      <c r="D42" s="16" t="n">
        <v>100</v>
      </c>
      <c r="E42" s="25" t="n">
        <v>8.62</v>
      </c>
      <c r="F42" s="12" t="n">
        <v>862</v>
      </c>
      <c r="G42" s="12" t="n">
        <v>0</v>
      </c>
      <c r="H42" s="18" t="n">
        <f aca="false">F42/$F$58</f>
        <v>0.00197044749365479</v>
      </c>
      <c r="I42" s="18" t="n">
        <f aca="false">F42/$O$10</f>
        <v>0.00390834735033546</v>
      </c>
    </row>
    <row r="43" customFormat="false" ht="15" hidden="false" customHeight="false" outlineLevel="0" collapsed="false">
      <c r="A43" s="4" t="s">
        <v>130</v>
      </c>
      <c r="B43" s="4" t="s">
        <v>131</v>
      </c>
      <c r="C43" s="4" t="s">
        <v>129</v>
      </c>
      <c r="D43" s="16" t="n">
        <v>500</v>
      </c>
      <c r="E43" s="25" t="n">
        <v>14.95</v>
      </c>
      <c r="F43" s="12" t="n">
        <v>7475</v>
      </c>
      <c r="G43" s="12" t="n">
        <v>0</v>
      </c>
      <c r="H43" s="18" t="n">
        <f aca="false">F43/$F$58</f>
        <v>0.0170871171868557</v>
      </c>
      <c r="I43" s="18" t="n">
        <f aca="false">F43/$O$10</f>
        <v>0.0338919912340575</v>
      </c>
    </row>
    <row r="44" customFormat="false" ht="15" hidden="false" customHeight="false" outlineLevel="0" collapsed="false">
      <c r="A44" s="4" t="s">
        <v>134</v>
      </c>
      <c r="B44" s="4" t="s">
        <v>135</v>
      </c>
      <c r="C44" s="4" t="s">
        <v>118</v>
      </c>
      <c r="D44" s="16" t="n">
        <v>100.167417</v>
      </c>
      <c r="E44" s="25" t="n">
        <v>64.95</v>
      </c>
      <c r="F44" s="12" t="n">
        <v>6505.87</v>
      </c>
      <c r="G44" s="12" t="n">
        <v>0</v>
      </c>
      <c r="H44" s="18" t="n">
        <f aca="false">F44/$F$58</f>
        <v>0.0148717810157122</v>
      </c>
      <c r="I44" s="18" t="n">
        <f aca="false">F44/$O$10</f>
        <v>0.0294979115732331</v>
      </c>
    </row>
    <row r="45" customFormat="false" ht="15" hidden="false" customHeight="false" outlineLevel="0" collapsed="false">
      <c r="A45" s="4" t="s">
        <v>312</v>
      </c>
      <c r="B45" s="4" t="s">
        <v>313</v>
      </c>
      <c r="C45" s="4" t="s">
        <v>149</v>
      </c>
      <c r="D45" s="16" t="n">
        <v>251.863837</v>
      </c>
      <c r="E45" s="25" t="n">
        <v>34.17</v>
      </c>
      <c r="F45" s="12" t="n">
        <v>8606.19</v>
      </c>
      <c r="G45" s="12" t="n">
        <v>36</v>
      </c>
      <c r="H45" s="18" t="n">
        <f aca="false">F45/$F$58</f>
        <v>0.0196729066304141</v>
      </c>
      <c r="I45" s="18" t="n">
        <f aca="false">F45/$O$10</f>
        <v>0.0390208583329275</v>
      </c>
    </row>
    <row r="46" customFormat="false" ht="15" hidden="false" customHeight="false" outlineLevel="0" collapsed="false">
      <c r="A46" s="4" t="s">
        <v>314</v>
      </c>
      <c r="B46" s="4" t="s">
        <v>315</v>
      </c>
      <c r="C46" s="4" t="s">
        <v>262</v>
      </c>
      <c r="D46" s="16" t="n">
        <v>300</v>
      </c>
      <c r="E46" s="25" t="n">
        <v>52.36</v>
      </c>
      <c r="F46" s="12" t="n">
        <v>15708</v>
      </c>
      <c r="G46" s="12" t="n">
        <v>0</v>
      </c>
      <c r="H46" s="18" t="n">
        <f aca="false">F46/$F$58</f>
        <v>0.0359069480630273</v>
      </c>
      <c r="I46" s="18" t="n">
        <f aca="false">F46/$O$10</f>
        <v>0.0712207890708462</v>
      </c>
    </row>
    <row r="47" customFormat="false" ht="15" hidden="false" customHeight="false" outlineLevel="0" collapsed="false">
      <c r="A47" s="4" t="s">
        <v>316</v>
      </c>
      <c r="B47" s="4" t="s">
        <v>317</v>
      </c>
      <c r="C47" s="4" t="s">
        <v>96</v>
      </c>
      <c r="D47" s="16" t="n">
        <v>100</v>
      </c>
      <c r="E47" s="25" t="n">
        <v>19.05</v>
      </c>
      <c r="F47" s="12" t="n">
        <v>1905</v>
      </c>
      <c r="G47" s="12" t="n">
        <v>0</v>
      </c>
      <c r="H47" s="18" t="n">
        <f aca="false">F47/$F$58</f>
        <v>0.0043546432429378</v>
      </c>
      <c r="I47" s="18" t="n">
        <f aca="false">F47/$O$10</f>
        <v>0.00863735696332837</v>
      </c>
    </row>
    <row r="48" customFormat="false" ht="15" hidden="false" customHeight="false" outlineLevel="0" collapsed="false">
      <c r="A48" s="4" t="s">
        <v>318</v>
      </c>
      <c r="B48" s="4" t="s">
        <v>319</v>
      </c>
      <c r="C48" s="4" t="s">
        <v>92</v>
      </c>
      <c r="D48" s="16" t="n">
        <v>200</v>
      </c>
      <c r="E48" s="25" t="n">
        <v>16.31</v>
      </c>
      <c r="F48" s="12" t="n">
        <v>3262</v>
      </c>
      <c r="G48" s="12" t="n">
        <v>0</v>
      </c>
      <c r="H48" s="18" t="n">
        <f aca="false">F48/$F$58</f>
        <v>0.00745661220916698</v>
      </c>
      <c r="I48" s="18" t="n">
        <f aca="false">F48/$O$10</f>
        <v>0.0147900569104342</v>
      </c>
    </row>
    <row r="49" customFormat="false" ht="15" hidden="false" customHeight="false" outlineLevel="0" collapsed="false">
      <c r="A49" s="4" t="s">
        <v>157</v>
      </c>
      <c r="B49" s="4" t="s">
        <v>158</v>
      </c>
      <c r="C49" s="4" t="s">
        <v>149</v>
      </c>
      <c r="D49" s="16" t="n">
        <v>16.099763</v>
      </c>
      <c r="E49" s="25" t="n">
        <v>747.03</v>
      </c>
      <c r="F49" s="12" t="n">
        <v>12027.01</v>
      </c>
      <c r="G49" s="12" t="n">
        <v>125.37</v>
      </c>
      <c r="H49" s="18" t="n">
        <f aca="false">F49/$F$58</f>
        <v>0.0274925657896301</v>
      </c>
      <c r="I49" s="18" t="n">
        <f aca="false">F49/$O$10</f>
        <v>0.0545310123735013</v>
      </c>
    </row>
    <row r="50" customFormat="false" ht="15" hidden="false" customHeight="false" outlineLevel="0" collapsed="false">
      <c r="A50" s="4" t="s">
        <v>155</v>
      </c>
      <c r="B50" s="4" t="s">
        <v>156</v>
      </c>
      <c r="C50" s="4" t="s">
        <v>149</v>
      </c>
      <c r="D50" s="16" t="n">
        <v>170.709156</v>
      </c>
      <c r="E50" s="25" t="n">
        <v>117.14</v>
      </c>
      <c r="F50" s="12" t="n">
        <v>19996.87</v>
      </c>
      <c r="G50" s="12" t="n">
        <v>96.98</v>
      </c>
      <c r="H50" s="18" t="n">
        <f aca="false">F50/$F$58</f>
        <v>0.0457108844227851</v>
      </c>
      <c r="I50" s="18" t="n">
        <f aca="false">F50/$O$10</f>
        <v>0.0906667214379381</v>
      </c>
    </row>
    <row r="51" customFormat="false" ht="15" hidden="false" customHeight="false" outlineLevel="0" collapsed="false">
      <c r="A51" s="4" t="s">
        <v>320</v>
      </c>
      <c r="B51" s="4" t="s">
        <v>321</v>
      </c>
      <c r="C51" s="4" t="s">
        <v>96</v>
      </c>
      <c r="D51" s="16" t="n">
        <v>30</v>
      </c>
      <c r="E51" s="25" t="n">
        <v>43.87</v>
      </c>
      <c r="F51" s="12" t="n">
        <v>1316.1</v>
      </c>
      <c r="G51" s="12" t="n">
        <v>0</v>
      </c>
      <c r="H51" s="18" t="n">
        <f aca="false">F51/$F$58</f>
        <v>0.00300847557586899</v>
      </c>
      <c r="I51" s="18" t="n">
        <f aca="false">F51/$O$10</f>
        <v>0.00596725748001914</v>
      </c>
    </row>
    <row r="52" customFormat="false" ht="15" hidden="false" customHeight="false" outlineLevel="0" collapsed="false">
      <c r="A52" s="4" t="s">
        <v>322</v>
      </c>
      <c r="B52" s="4" t="s">
        <v>323</v>
      </c>
      <c r="C52" s="4" t="s">
        <v>126</v>
      </c>
      <c r="D52" s="16" t="n">
        <v>500</v>
      </c>
      <c r="E52" s="25" t="n">
        <v>3.13</v>
      </c>
      <c r="F52" s="12" t="n">
        <v>1565</v>
      </c>
      <c r="G52" s="12" t="n">
        <v>0</v>
      </c>
      <c r="H52" s="18" t="n">
        <f aca="false">F52/$F$58</f>
        <v>0.0035774365749069</v>
      </c>
      <c r="I52" s="18" t="n">
        <f aca="false">F52/$O$10</f>
        <v>0.00709578144231438</v>
      </c>
    </row>
    <row r="53" customFormat="false" ht="15" hidden="false" customHeight="false" outlineLevel="0" collapsed="false">
      <c r="A53" s="4" t="s">
        <v>140</v>
      </c>
      <c r="B53" s="4" t="s">
        <v>141</v>
      </c>
      <c r="C53" s="4" t="s">
        <v>115</v>
      </c>
      <c r="D53" s="16" t="n">
        <v>2000</v>
      </c>
      <c r="E53" s="25" t="n">
        <v>1.22</v>
      </c>
      <c r="F53" s="12" t="n">
        <v>2440</v>
      </c>
      <c r="G53" s="12" t="n">
        <v>0</v>
      </c>
      <c r="H53" s="18" t="n">
        <f aca="false">F53/$F$58</f>
        <v>0.00557760079410406</v>
      </c>
      <c r="I53" s="18" t="n">
        <f aca="false">F53/$O$10</f>
        <v>0.0110630713861004</v>
      </c>
    </row>
    <row r="54" customFormat="false" ht="15" hidden="false" customHeight="false" outlineLevel="0" collapsed="false">
      <c r="A54" s="4" t="s">
        <v>324</v>
      </c>
      <c r="B54" s="4" t="s">
        <v>325</v>
      </c>
      <c r="C54" s="4" t="s">
        <v>115</v>
      </c>
      <c r="D54" s="16" t="n">
        <v>600</v>
      </c>
      <c r="E54" s="25" t="n">
        <v>11.44</v>
      </c>
      <c r="F54" s="12" t="n">
        <v>6864</v>
      </c>
      <c r="G54" s="12" t="n">
        <v>0</v>
      </c>
      <c r="H54" s="18" t="n">
        <f aca="false">F54/$F$58</f>
        <v>0.0156904310863649</v>
      </c>
      <c r="I54" s="18" t="n">
        <f aca="false">F54/$O$10</f>
        <v>0.0311216893418824</v>
      </c>
    </row>
    <row r="55" customFormat="false" ht="15" hidden="false" customHeight="false" outlineLevel="0" collapsed="false">
      <c r="A55" s="4" t="s">
        <v>142</v>
      </c>
      <c r="B55" s="4" t="s">
        <v>143</v>
      </c>
      <c r="C55" s="4" t="s">
        <v>85</v>
      </c>
      <c r="D55" s="16" t="n">
        <v>101.592478</v>
      </c>
      <c r="E55" s="25" t="n">
        <v>111.2</v>
      </c>
      <c r="F55" s="12" t="n">
        <v>11297.08</v>
      </c>
      <c r="G55" s="12" t="n">
        <v>95.44</v>
      </c>
      <c r="H55" s="18" t="n">
        <f aca="false">F55/$F$58</f>
        <v>0.025824017368466</v>
      </c>
      <c r="I55" s="18" t="n">
        <f aca="false">F55/$O$10</f>
        <v>0.0512214764321667</v>
      </c>
    </row>
    <row r="56" customFormat="false" ht="15" hidden="false" customHeight="false" outlineLevel="0" collapsed="false">
      <c r="A56" s="4" t="s">
        <v>144</v>
      </c>
      <c r="B56" s="4" t="s">
        <v>145</v>
      </c>
      <c r="C56" s="4" t="s">
        <v>81</v>
      </c>
      <c r="D56" s="16" t="n">
        <v>20</v>
      </c>
      <c r="E56" s="25" t="n">
        <v>23.7</v>
      </c>
      <c r="F56" s="12" t="n">
        <v>474</v>
      </c>
      <c r="G56" s="12" t="n">
        <v>0</v>
      </c>
      <c r="H56" s="18" t="n">
        <f aca="false">F56/$F$58</f>
        <v>0.00108351753131366</v>
      </c>
      <c r="I56" s="18" t="n">
        <f aca="false">F56/$O$10</f>
        <v>0.0021491376381195</v>
      </c>
    </row>
    <row r="58" customFormat="false" ht="15" hidden="false" customHeight="false" outlineLevel="0" collapsed="false">
      <c r="B58" s="13" t="s">
        <v>326</v>
      </c>
      <c r="F58" s="20" t="n">
        <f aca="false">SUM(F9:F56)</f>
        <v>437464.08</v>
      </c>
      <c r="G58" s="20" t="n">
        <f aca="false">SUM(G9:G56)</f>
        <v>2730.88</v>
      </c>
    </row>
    <row r="59" customFormat="false" ht="15" hidden="false" customHeight="false" outlineLevel="0" collapsed="false">
      <c r="B59" s="4" t="s">
        <v>15</v>
      </c>
      <c r="H59" s="18" t="n">
        <f aca="false">SUMPRODUCT(LARGE(F9:F56,{1,2,3,4,5,6,7,8,9,10}))/F58</f>
        <v>0.64877445480781</v>
      </c>
    </row>
    <row r="60" customFormat="false" ht="15" hidden="false" customHeight="false" outlineLevel="0" collapsed="false">
      <c r="B60" s="4" t="s">
        <v>16</v>
      </c>
      <c r="H60" s="22" t="n">
        <f aca="false">1/SUMPRODUCT((F9:F56/F58)^2)</f>
        <v>16.1644327453298</v>
      </c>
    </row>
    <row r="61" customFormat="false" ht="15" hidden="false" customHeight="false" outlineLevel="0" collapsed="false">
      <c r="B61" s="4" t="s">
        <v>327</v>
      </c>
      <c r="H61" s="27" t="n">
        <f aca="false">G58/F58</f>
        <v>0.00624252395762413</v>
      </c>
    </row>
    <row r="65" customFormat="false" ht="15" hidden="false" customHeight="false" outlineLevel="0" collapsed="false">
      <c r="A65" s="13" t="s">
        <v>328</v>
      </c>
      <c r="J65" s="13" t="s">
        <v>199</v>
      </c>
    </row>
    <row r="66" customFormat="false" ht="15" hidden="false" customHeight="false" outlineLevel="0" collapsed="false">
      <c r="A66" s="3" t="s">
        <v>200</v>
      </c>
      <c r="B66" s="3" t="s">
        <v>201</v>
      </c>
      <c r="C66" s="3" t="s">
        <v>202</v>
      </c>
      <c r="D66" s="3" t="s">
        <v>56</v>
      </c>
      <c r="E66" s="3" t="s">
        <v>60</v>
      </c>
      <c r="F66" s="3" t="s">
        <v>61</v>
      </c>
      <c r="G66" s="3" t="s">
        <v>329</v>
      </c>
      <c r="H66" s="3" t="s">
        <v>330</v>
      </c>
      <c r="J66" s="13" t="s">
        <v>59</v>
      </c>
      <c r="K66" s="13" t="s">
        <v>63</v>
      </c>
      <c r="L66" s="13" t="s">
        <v>204</v>
      </c>
    </row>
    <row r="67" customFormat="false" ht="15" hidden="false" customHeight="false" outlineLevel="0" collapsed="false">
      <c r="A67" s="4" t="s">
        <v>331</v>
      </c>
      <c r="B67" s="4" t="s">
        <v>332</v>
      </c>
      <c r="C67" s="4" t="s">
        <v>313</v>
      </c>
      <c r="D67" s="4" t="s">
        <v>312</v>
      </c>
      <c r="E67" s="16" t="n">
        <v>0.252681</v>
      </c>
      <c r="F67" s="25" t="n">
        <v>33.56</v>
      </c>
      <c r="G67" s="12" t="n">
        <v>8.48</v>
      </c>
      <c r="H67" s="12" t="n">
        <v>0</v>
      </c>
      <c r="J67" s="4" t="s">
        <v>74</v>
      </c>
      <c r="K67" s="6" t="n">
        <f aca="false">SUMIF($C$9:$C$56,J67,$F$9:$F$56)</f>
        <v>166592.67</v>
      </c>
      <c r="L67" s="18" t="n">
        <f aca="false">K67/$F$58</f>
        <v>0.380814511673736</v>
      </c>
    </row>
    <row r="68" customFormat="false" ht="15" hidden="false" customHeight="false" outlineLevel="0" collapsed="false">
      <c r="A68" s="4" t="s">
        <v>333</v>
      </c>
      <c r="B68" s="4" t="s">
        <v>334</v>
      </c>
      <c r="C68" s="4" t="s">
        <v>267</v>
      </c>
      <c r="D68" s="4" t="s">
        <v>71</v>
      </c>
      <c r="E68" s="16" t="n">
        <v>2.784685</v>
      </c>
      <c r="F68" s="25" t="n">
        <v>359.107</v>
      </c>
      <c r="G68" s="12" t="n">
        <v>1000</v>
      </c>
      <c r="H68" s="12" t="n">
        <v>0</v>
      </c>
      <c r="J68" s="4" t="s">
        <v>149</v>
      </c>
      <c r="K68" s="6" t="n">
        <f aca="false">SUMIF($C$9:$C$56,J68,$F$9:$F$56)</f>
        <v>40630.07</v>
      </c>
      <c r="L68" s="18" t="n">
        <f aca="false">K68/$F$58</f>
        <v>0.0928763568428292</v>
      </c>
    </row>
    <row r="69" customFormat="false" ht="15" hidden="false" customHeight="false" outlineLevel="0" collapsed="false">
      <c r="A69" s="4" t="s">
        <v>335</v>
      </c>
      <c r="B69" s="4" t="s">
        <v>208</v>
      </c>
      <c r="C69" s="4" t="s">
        <v>336</v>
      </c>
      <c r="D69" s="4" t="s">
        <v>301</v>
      </c>
      <c r="G69" s="12" t="n">
        <v>0</v>
      </c>
      <c r="H69" s="12" t="n">
        <v>3.91</v>
      </c>
      <c r="J69" s="4" t="s">
        <v>85</v>
      </c>
      <c r="K69" s="6" t="n">
        <f aca="false">SUMIF($C$9:$C$56,J69,$F$9:$F$56)</f>
        <v>38284.18</v>
      </c>
      <c r="L69" s="18" t="n">
        <f aca="false">K69/$F$58</f>
        <v>0.0875138822826322</v>
      </c>
    </row>
    <row r="70" customFormat="false" ht="15" hidden="false" customHeight="false" outlineLevel="0" collapsed="false">
      <c r="A70" s="4" t="s">
        <v>335</v>
      </c>
      <c r="B70" s="4" t="s">
        <v>208</v>
      </c>
      <c r="C70" s="4" t="s">
        <v>337</v>
      </c>
      <c r="D70" s="4" t="s">
        <v>301</v>
      </c>
      <c r="G70" s="12" t="n">
        <v>0</v>
      </c>
      <c r="H70" s="12" t="n">
        <v>6.15</v>
      </c>
      <c r="J70" s="4" t="s">
        <v>108</v>
      </c>
      <c r="K70" s="6" t="n">
        <f aca="false">SUMIF($C$9:$C$56,J70,$F$9:$F$56)</f>
        <v>34594.27</v>
      </c>
      <c r="L70" s="18" t="n">
        <f aca="false">K70/$F$58</f>
        <v>0.0790791097637091</v>
      </c>
    </row>
    <row r="71" customFormat="false" ht="15" hidden="false" customHeight="false" outlineLevel="0" collapsed="false">
      <c r="A71" s="4" t="s">
        <v>338</v>
      </c>
      <c r="B71" s="4" t="s">
        <v>339</v>
      </c>
      <c r="C71" s="4" t="s">
        <v>340</v>
      </c>
      <c r="D71" s="4"/>
      <c r="G71" s="12" t="n">
        <v>731.94</v>
      </c>
      <c r="H71" s="12" t="n">
        <v>0</v>
      </c>
      <c r="J71" s="4" t="s">
        <v>152</v>
      </c>
      <c r="K71" s="6" t="n">
        <f aca="false">SUMIF($C$9:$C$56,J71,$F$9:$F$56)</f>
        <v>34335.91</v>
      </c>
      <c r="L71" s="18" t="n">
        <f aca="false">K71/$F$58</f>
        <v>0.0784885241320842</v>
      </c>
    </row>
    <row r="72" customFormat="false" ht="15" hidden="false" customHeight="false" outlineLevel="0" collapsed="false">
      <c r="A72" s="4" t="s">
        <v>335</v>
      </c>
      <c r="B72" s="4" t="s">
        <v>341</v>
      </c>
      <c r="C72" s="4" t="s">
        <v>107</v>
      </c>
      <c r="D72" s="4" t="s">
        <v>106</v>
      </c>
      <c r="E72" s="16" t="n">
        <v>5</v>
      </c>
      <c r="F72" s="25" t="n">
        <v>968.855</v>
      </c>
      <c r="G72" s="12" t="n">
        <v>4844.28</v>
      </c>
      <c r="H72" s="12" t="n">
        <v>0</v>
      </c>
      <c r="J72" s="4" t="s">
        <v>245</v>
      </c>
      <c r="K72" s="6" t="n">
        <f aca="false">SUMIF($C$9:$C$56,J72,$F$9:$F$56)</f>
        <v>20125.95</v>
      </c>
      <c r="L72" s="18" t="n">
        <f aca="false">K72/$F$58</f>
        <v>0.046005948648401</v>
      </c>
    </row>
    <row r="73" customFormat="false" ht="15" hidden="false" customHeight="false" outlineLevel="0" collapsed="false">
      <c r="A73" s="4" t="s">
        <v>335</v>
      </c>
      <c r="B73" s="4" t="s">
        <v>334</v>
      </c>
      <c r="C73" s="4" t="s">
        <v>307</v>
      </c>
      <c r="D73" s="4" t="s">
        <v>306</v>
      </c>
      <c r="E73" s="16" t="n">
        <v>4.528575</v>
      </c>
      <c r="F73" s="25" t="n">
        <v>55.205</v>
      </c>
      <c r="G73" s="12" t="n">
        <v>250</v>
      </c>
      <c r="H73" s="12" t="n">
        <v>0</v>
      </c>
      <c r="J73" s="4" t="s">
        <v>129</v>
      </c>
      <c r="K73" s="6" t="n">
        <f aca="false">SUMIF($C$9:$C$56,J73,$F$9:$F$56)</f>
        <v>19195.78</v>
      </c>
      <c r="L73" s="18" t="n">
        <f aca="false">K73/$F$58</f>
        <v>0.043879671217806</v>
      </c>
    </row>
    <row r="74" customFormat="false" ht="15" hidden="false" customHeight="false" outlineLevel="0" collapsed="false">
      <c r="A74" s="4" t="s">
        <v>335</v>
      </c>
      <c r="B74" s="4" t="s">
        <v>342</v>
      </c>
      <c r="C74" s="4" t="s">
        <v>343</v>
      </c>
      <c r="D74" s="4"/>
      <c r="G74" s="12" t="n">
        <v>0</v>
      </c>
      <c r="H74" s="12" t="n">
        <v>0</v>
      </c>
      <c r="J74" s="4" t="s">
        <v>92</v>
      </c>
      <c r="K74" s="6" t="n">
        <f aca="false">SUMIF($C$9:$C$56,J74,$F$9:$F$56)</f>
        <v>16901</v>
      </c>
      <c r="L74" s="18" t="n">
        <f aca="false">K74/$F$58</f>
        <v>0.0386340291070298</v>
      </c>
    </row>
    <row r="75" customFormat="false" ht="15" hidden="false" customHeight="false" outlineLevel="0" collapsed="false">
      <c r="A75" s="4" t="s">
        <v>335</v>
      </c>
      <c r="B75" s="4" t="s">
        <v>342</v>
      </c>
      <c r="C75" s="4" t="s">
        <v>344</v>
      </c>
      <c r="D75" s="4"/>
      <c r="G75" s="12" t="n">
        <v>0</v>
      </c>
      <c r="H75" s="12" t="n">
        <v>0</v>
      </c>
      <c r="J75" s="4" t="s">
        <v>262</v>
      </c>
      <c r="K75" s="6" t="n">
        <f aca="false">SUMIF($C$9:$C$56,J75,$F$9:$F$56)</f>
        <v>15811.85</v>
      </c>
      <c r="L75" s="18" t="n">
        <f aca="false">K75/$F$58</f>
        <v>0.0361443389820714</v>
      </c>
    </row>
    <row r="76" customFormat="false" ht="15" hidden="false" customHeight="false" outlineLevel="0" collapsed="false">
      <c r="A76" s="4" t="s">
        <v>338</v>
      </c>
      <c r="B76" s="4" t="s">
        <v>332</v>
      </c>
      <c r="C76" s="4" t="s">
        <v>302</v>
      </c>
      <c r="D76" s="4" t="s">
        <v>301</v>
      </c>
      <c r="E76" s="16" t="n">
        <v>0.589086</v>
      </c>
      <c r="F76" s="25" t="n">
        <v>17.0773</v>
      </c>
      <c r="G76" s="12" t="n">
        <v>10.06</v>
      </c>
      <c r="H76" s="12" t="n">
        <v>0</v>
      </c>
      <c r="J76" s="4" t="s">
        <v>118</v>
      </c>
      <c r="K76" s="6" t="n">
        <f aca="false">SUMIF($C$9:$C$56,J76,$F$9:$F$56)</f>
        <v>12396.87</v>
      </c>
      <c r="L76" s="18" t="n">
        <f aca="false">K76/$F$58</f>
        <v>0.0283380294903298</v>
      </c>
    </row>
    <row r="77" customFormat="false" ht="15" hidden="false" customHeight="false" outlineLevel="0" collapsed="false">
      <c r="A77" s="4" t="s">
        <v>345</v>
      </c>
      <c r="B77" s="4" t="s">
        <v>208</v>
      </c>
      <c r="C77" s="4" t="s">
        <v>346</v>
      </c>
      <c r="D77" s="4" t="s">
        <v>106</v>
      </c>
      <c r="G77" s="12" t="n">
        <v>0</v>
      </c>
      <c r="H77" s="12" t="n">
        <v>2.1</v>
      </c>
      <c r="J77" s="4" t="s">
        <v>115</v>
      </c>
      <c r="K77" s="6" t="n">
        <f aca="false">SUMIF($C$9:$C$56,J77,$F$9:$F$56)</f>
        <v>11175.5</v>
      </c>
      <c r="L77" s="18" t="n">
        <f aca="false">K77/$F$58</f>
        <v>0.025546097407586</v>
      </c>
    </row>
    <row r="78" customFormat="false" ht="15" hidden="false" customHeight="false" outlineLevel="0" collapsed="false">
      <c r="A78" s="4" t="s">
        <v>345</v>
      </c>
      <c r="B78" s="4" t="s">
        <v>208</v>
      </c>
      <c r="C78" s="4" t="s">
        <v>347</v>
      </c>
      <c r="D78" s="4" t="s">
        <v>106</v>
      </c>
      <c r="G78" s="12" t="n">
        <v>0</v>
      </c>
      <c r="H78" s="12" t="n">
        <v>0.15</v>
      </c>
      <c r="J78" s="4" t="s">
        <v>81</v>
      </c>
      <c r="K78" s="6" t="n">
        <f aca="false">SUMIF($C$9:$C$56,J78,$F$9:$F$56)</f>
        <v>9453.4</v>
      </c>
      <c r="L78" s="18" t="n">
        <f aca="false">K78/$F$58</f>
        <v>0.0216095456340095</v>
      </c>
    </row>
    <row r="79" customFormat="false" ht="15" hidden="false" customHeight="false" outlineLevel="0" collapsed="false">
      <c r="A79" s="4" t="s">
        <v>345</v>
      </c>
      <c r="B79" s="4" t="s">
        <v>334</v>
      </c>
      <c r="C79" s="4" t="s">
        <v>267</v>
      </c>
      <c r="D79" s="4" t="s">
        <v>71</v>
      </c>
      <c r="E79" s="16" t="n">
        <v>2.778488</v>
      </c>
      <c r="F79" s="25" t="n">
        <v>359.90787</v>
      </c>
      <c r="G79" s="12" t="n">
        <v>1000</v>
      </c>
      <c r="H79" s="12" t="n">
        <v>0</v>
      </c>
      <c r="J79" s="4" t="s">
        <v>123</v>
      </c>
      <c r="K79" s="6" t="n">
        <f aca="false">SUMIF($C$9:$C$56,J79,$F$9:$F$56)</f>
        <v>5561.5</v>
      </c>
      <c r="L79" s="18" t="n">
        <f aca="false">K79/$F$58</f>
        <v>0.0127130437772171</v>
      </c>
    </row>
    <row r="80" customFormat="false" ht="15" hidden="false" customHeight="false" outlineLevel="0" collapsed="false">
      <c r="A80" s="4" t="s">
        <v>348</v>
      </c>
      <c r="B80" s="4" t="s">
        <v>332</v>
      </c>
      <c r="C80" s="4" t="s">
        <v>107</v>
      </c>
      <c r="D80" s="4" t="s">
        <v>106</v>
      </c>
      <c r="E80" s="16" t="n">
        <v>0.002217</v>
      </c>
      <c r="F80" s="25" t="n">
        <v>1014.54</v>
      </c>
      <c r="G80" s="12" t="n">
        <v>2.25</v>
      </c>
      <c r="H80" s="12" t="n">
        <v>0</v>
      </c>
      <c r="J80" s="4" t="s">
        <v>126</v>
      </c>
      <c r="K80" s="6" t="n">
        <f aca="false">SUMIF($C$9:$C$56,J80,$F$9:$F$56)</f>
        <v>4830</v>
      </c>
      <c r="L80" s="18" t="n">
        <f aca="false">K80/$F$58</f>
        <v>0.0110409064899683</v>
      </c>
    </row>
    <row r="81" customFormat="false" ht="15" hidden="false" customHeight="false" outlineLevel="0" collapsed="false">
      <c r="A81" s="4" t="s">
        <v>349</v>
      </c>
      <c r="B81" s="4" t="s">
        <v>341</v>
      </c>
      <c r="C81" s="4" t="s">
        <v>236</v>
      </c>
      <c r="D81" s="4" t="s">
        <v>235</v>
      </c>
      <c r="E81" s="16" t="n">
        <v>11</v>
      </c>
      <c r="F81" s="25" t="n">
        <v>57.44</v>
      </c>
      <c r="G81" s="12" t="n">
        <v>631.84</v>
      </c>
      <c r="H81" s="12" t="n">
        <v>0</v>
      </c>
      <c r="J81" s="4" t="s">
        <v>303</v>
      </c>
      <c r="K81" s="6" t="n">
        <f aca="false">SUMIF($C$9:$C$56,J81,$F$9:$F$56)</f>
        <v>3507.4</v>
      </c>
      <c r="L81" s="18" t="n">
        <f aca="false">K81/$F$58</f>
        <v>0.0080175725513281</v>
      </c>
    </row>
    <row r="82" customFormat="false" ht="15" hidden="false" customHeight="false" outlineLevel="0" collapsed="false">
      <c r="A82" s="4" t="s">
        <v>349</v>
      </c>
      <c r="B82" s="4" t="s">
        <v>341</v>
      </c>
      <c r="C82" s="4" t="s">
        <v>236</v>
      </c>
      <c r="D82" s="4" t="s">
        <v>235</v>
      </c>
      <c r="E82" s="16" t="n">
        <v>39</v>
      </c>
      <c r="F82" s="25" t="n">
        <v>57.49</v>
      </c>
      <c r="G82" s="12" t="n">
        <v>2242.11</v>
      </c>
      <c r="H82" s="12" t="n">
        <v>0</v>
      </c>
      <c r="J82" s="4" t="s">
        <v>96</v>
      </c>
      <c r="K82" s="6" t="n">
        <f aca="false">SUMIF($C$9:$C$56,J82,$F$9:$F$56)</f>
        <v>3221.1</v>
      </c>
      <c r="L82" s="18" t="n">
        <f aca="false">K82/$F$58</f>
        <v>0.00736311881880679</v>
      </c>
    </row>
    <row r="83" customFormat="false" ht="15" hidden="false" customHeight="false" outlineLevel="0" collapsed="false">
      <c r="A83" s="4" t="s">
        <v>350</v>
      </c>
      <c r="B83" s="4" t="s">
        <v>334</v>
      </c>
      <c r="C83" s="4" t="s">
        <v>267</v>
      </c>
      <c r="D83" s="4" t="s">
        <v>71</v>
      </c>
      <c r="E83" s="16" t="n">
        <v>2.69789</v>
      </c>
      <c r="F83" s="25" t="n">
        <v>370.66</v>
      </c>
      <c r="G83" s="12" t="n">
        <v>1000</v>
      </c>
      <c r="H83" s="12" t="n">
        <v>0</v>
      </c>
      <c r="J83" s="4" t="s">
        <v>249</v>
      </c>
      <c r="K83" s="6" t="n">
        <f aca="false">SUMIF($C$9:$C$56,J83,$F$9:$F$56)</f>
        <v>846.63</v>
      </c>
      <c r="L83" s="18" t="n">
        <f aca="false">K83/$F$58</f>
        <v>0.00193531318045587</v>
      </c>
    </row>
    <row r="84" customFormat="false" ht="15" hidden="false" customHeight="false" outlineLevel="0" collapsed="false">
      <c r="A84" s="4" t="s">
        <v>351</v>
      </c>
      <c r="B84" s="4" t="s">
        <v>334</v>
      </c>
      <c r="C84" s="4" t="s">
        <v>307</v>
      </c>
      <c r="D84" s="4" t="s">
        <v>306</v>
      </c>
      <c r="E84" s="16" t="n">
        <v>4.531037</v>
      </c>
      <c r="F84" s="25" t="n">
        <v>55.175</v>
      </c>
      <c r="G84" s="12" t="n">
        <v>250</v>
      </c>
      <c r="H84" s="12" t="n">
        <v>0</v>
      </c>
    </row>
    <row r="85" customFormat="false" ht="15" hidden="false" customHeight="false" outlineLevel="0" collapsed="false">
      <c r="A85" s="4" t="s">
        <v>352</v>
      </c>
      <c r="B85" s="4" t="s">
        <v>353</v>
      </c>
      <c r="C85" s="4" t="s">
        <v>354</v>
      </c>
      <c r="D85" s="4"/>
      <c r="G85" s="12" t="n">
        <v>0</v>
      </c>
      <c r="H85" s="12" t="n">
        <v>6.98</v>
      </c>
    </row>
    <row r="86" customFormat="false" ht="15" hidden="false" customHeight="false" outlineLevel="0" collapsed="false">
      <c r="A86" s="4" t="s">
        <v>355</v>
      </c>
      <c r="B86" s="4" t="s">
        <v>334</v>
      </c>
      <c r="C86" s="4" t="s">
        <v>267</v>
      </c>
      <c r="D86" s="4" t="s">
        <v>71</v>
      </c>
      <c r="E86" s="16" t="n">
        <v>2.872625</v>
      </c>
      <c r="F86" s="25" t="n">
        <v>348.11364</v>
      </c>
      <c r="G86" s="12" t="n">
        <v>1000</v>
      </c>
      <c r="H86" s="12" t="n">
        <v>0</v>
      </c>
    </row>
    <row r="87" customFormat="false" ht="15" hidden="false" customHeight="false" outlineLevel="0" collapsed="false">
      <c r="A87" s="4" t="s">
        <v>356</v>
      </c>
      <c r="B87" s="4" t="s">
        <v>208</v>
      </c>
      <c r="C87" s="4" t="s">
        <v>357</v>
      </c>
      <c r="D87" s="4" t="s">
        <v>280</v>
      </c>
      <c r="G87" s="12" t="n">
        <v>0</v>
      </c>
      <c r="H87" s="12" t="n">
        <v>70.2</v>
      </c>
    </row>
    <row r="88" customFormat="false" ht="15" hidden="false" customHeight="false" outlineLevel="0" collapsed="false">
      <c r="A88" s="4" t="s">
        <v>356</v>
      </c>
      <c r="B88" s="4" t="s">
        <v>208</v>
      </c>
      <c r="C88" s="4" t="s">
        <v>358</v>
      </c>
      <c r="D88" s="4" t="s">
        <v>306</v>
      </c>
      <c r="G88" s="12" t="n">
        <v>0</v>
      </c>
      <c r="H88" s="12" t="n">
        <v>94.81</v>
      </c>
    </row>
    <row r="89" customFormat="false" ht="15" hidden="false" customHeight="false" outlineLevel="0" collapsed="false">
      <c r="A89" s="4" t="s">
        <v>356</v>
      </c>
      <c r="B89" s="4" t="s">
        <v>208</v>
      </c>
      <c r="C89" s="4" t="s">
        <v>359</v>
      </c>
      <c r="D89" s="4" t="s">
        <v>280</v>
      </c>
      <c r="G89" s="12" t="n">
        <v>0</v>
      </c>
      <c r="H89" s="12" t="n">
        <v>0.63</v>
      </c>
    </row>
    <row r="90" customFormat="false" ht="15" hidden="false" customHeight="false" outlineLevel="0" collapsed="false">
      <c r="A90" s="4" t="s">
        <v>356</v>
      </c>
      <c r="B90" s="4" t="s">
        <v>208</v>
      </c>
      <c r="C90" s="4" t="s">
        <v>360</v>
      </c>
      <c r="D90" s="4" t="s">
        <v>306</v>
      </c>
      <c r="G90" s="12" t="n">
        <v>0</v>
      </c>
      <c r="H90" s="12" t="n">
        <v>237.98</v>
      </c>
    </row>
    <row r="91" customFormat="false" ht="15" hidden="false" customHeight="false" outlineLevel="0" collapsed="false">
      <c r="A91" s="4" t="s">
        <v>361</v>
      </c>
      <c r="B91" s="4" t="s">
        <v>332</v>
      </c>
      <c r="C91" s="4" t="s">
        <v>307</v>
      </c>
      <c r="D91" s="4" t="s">
        <v>306</v>
      </c>
      <c r="E91" s="16" t="n">
        <v>6.276727</v>
      </c>
      <c r="F91" s="25" t="n">
        <v>53.01967</v>
      </c>
      <c r="G91" s="12" t="n">
        <v>332.79</v>
      </c>
      <c r="H91" s="12" t="n">
        <v>0</v>
      </c>
    </row>
    <row r="92" customFormat="false" ht="15" hidden="false" customHeight="false" outlineLevel="0" collapsed="false">
      <c r="A92" s="4" t="s">
        <v>361</v>
      </c>
      <c r="B92" s="4" t="s">
        <v>332</v>
      </c>
      <c r="C92" s="4" t="s">
        <v>281</v>
      </c>
      <c r="D92" s="4" t="s">
        <v>280</v>
      </c>
      <c r="E92" s="16" t="n">
        <v>1.353784</v>
      </c>
      <c r="F92" s="25" t="n">
        <v>52.32</v>
      </c>
      <c r="G92" s="12" t="n">
        <v>70.83</v>
      </c>
      <c r="H92" s="12" t="n">
        <v>0</v>
      </c>
    </row>
    <row r="93" customFormat="false" ht="15" hidden="false" customHeight="false" outlineLevel="0" collapsed="false">
      <c r="A93" s="4" t="s">
        <v>362</v>
      </c>
      <c r="B93" s="4" t="s">
        <v>341</v>
      </c>
      <c r="C93" s="4" t="s">
        <v>294</v>
      </c>
      <c r="D93" s="4" t="s">
        <v>293</v>
      </c>
      <c r="E93" s="16" t="n">
        <v>5</v>
      </c>
      <c r="F93" s="25" t="n">
        <v>393.525</v>
      </c>
      <c r="G93" s="12" t="n">
        <v>1967.63</v>
      </c>
      <c r="H93" s="12" t="n">
        <v>0</v>
      </c>
    </row>
    <row r="94" customFormat="false" ht="15" hidden="false" customHeight="false" outlineLevel="0" collapsed="false">
      <c r="A94" s="4" t="s">
        <v>363</v>
      </c>
      <c r="B94" s="4" t="s">
        <v>334</v>
      </c>
      <c r="C94" s="4" t="s">
        <v>267</v>
      </c>
      <c r="D94" s="4" t="s">
        <v>71</v>
      </c>
      <c r="E94" s="16" t="n">
        <v>2.974693</v>
      </c>
      <c r="F94" s="25" t="n">
        <v>336.16914</v>
      </c>
      <c r="G94" s="12" t="n">
        <v>1000</v>
      </c>
      <c r="H94" s="12" t="n">
        <v>0</v>
      </c>
    </row>
    <row r="95" customFormat="false" ht="15" hidden="false" customHeight="false" outlineLevel="0" collapsed="false">
      <c r="A95" s="4" t="s">
        <v>364</v>
      </c>
      <c r="B95" s="4" t="s">
        <v>208</v>
      </c>
      <c r="C95" s="4" t="s">
        <v>365</v>
      </c>
      <c r="D95" s="4" t="s">
        <v>157</v>
      </c>
      <c r="G95" s="12" t="n">
        <v>0</v>
      </c>
      <c r="H95" s="12" t="n">
        <v>21.13</v>
      </c>
    </row>
    <row r="96" customFormat="false" ht="15" hidden="false" customHeight="false" outlineLevel="0" collapsed="false">
      <c r="A96" s="4" t="s">
        <v>364</v>
      </c>
      <c r="B96" s="4" t="s">
        <v>366</v>
      </c>
      <c r="C96" s="4" t="s">
        <v>367</v>
      </c>
      <c r="D96" s="4"/>
      <c r="G96" s="12" t="n">
        <v>0</v>
      </c>
      <c r="H96" s="12" t="n">
        <v>5.71</v>
      </c>
    </row>
    <row r="97" customFormat="false" ht="15" hidden="false" customHeight="false" outlineLevel="0" collapsed="false">
      <c r="A97" s="4" t="s">
        <v>364</v>
      </c>
      <c r="B97" s="4" t="s">
        <v>208</v>
      </c>
      <c r="C97" s="4" t="s">
        <v>368</v>
      </c>
      <c r="D97" s="4" t="s">
        <v>157</v>
      </c>
      <c r="G97" s="12" t="n">
        <v>0</v>
      </c>
      <c r="H97" s="12" t="n">
        <v>9.52</v>
      </c>
    </row>
    <row r="98" customFormat="false" ht="15" hidden="false" customHeight="false" outlineLevel="0" collapsed="false">
      <c r="A98" s="4" t="s">
        <v>369</v>
      </c>
      <c r="B98" s="4" t="s">
        <v>334</v>
      </c>
      <c r="C98" s="4" t="s">
        <v>307</v>
      </c>
      <c r="D98" s="4" t="s">
        <v>306</v>
      </c>
      <c r="E98" s="16" t="n">
        <v>4.754207</v>
      </c>
      <c r="F98" s="25" t="n">
        <v>52.585</v>
      </c>
      <c r="G98" s="12" t="n">
        <v>250</v>
      </c>
      <c r="H98" s="12" t="n">
        <v>0</v>
      </c>
    </row>
    <row r="99" customFormat="false" ht="15" hidden="false" customHeight="false" outlineLevel="0" collapsed="false">
      <c r="C99" s="13" t="s">
        <v>370</v>
      </c>
      <c r="G99" s="19" t="n">
        <f aca="false">SUM(G67:G98)</f>
        <v>16592.21</v>
      </c>
      <c r="H99" s="19" t="n">
        <f aca="false">SUM(H67:H98)</f>
        <v>459.27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6" min="4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371</v>
      </c>
    </row>
    <row r="2" customFormat="false" ht="15" hidden="false" customHeight="false" outlineLevel="0" collapsed="false">
      <c r="A2" s="2" t="s">
        <v>372</v>
      </c>
    </row>
    <row r="4" customFormat="false" ht="26.85" hidden="false" customHeight="false" outlineLevel="0" collapsed="false">
      <c r="A4" s="3" t="s">
        <v>56</v>
      </c>
      <c r="B4" s="3" t="s">
        <v>57</v>
      </c>
      <c r="C4" s="3" t="s">
        <v>59</v>
      </c>
      <c r="D4" s="3" t="s">
        <v>21</v>
      </c>
      <c r="E4" s="3" t="s">
        <v>22</v>
      </c>
      <c r="F4" s="3" t="s">
        <v>5</v>
      </c>
      <c r="G4" s="3" t="s">
        <v>373</v>
      </c>
    </row>
    <row r="5" customFormat="false" ht="15" hidden="false" customHeight="false" outlineLevel="0" collapsed="false">
      <c r="A5" s="4" t="s">
        <v>71</v>
      </c>
      <c r="B5" s="4" t="s">
        <v>72</v>
      </c>
      <c r="C5" s="4" t="s">
        <v>74</v>
      </c>
      <c r="D5" s="5" t="n">
        <f aca="false">SUMIF('SEP IRA'!$A$8:$A$40,A5,'SEP IRA'!$H$8:$H$40)</f>
        <v>10180.5</v>
      </c>
      <c r="E5" s="5" t="n">
        <f aca="false">SUMIF(Robinhood!$A$9:$A$56,A5,Robinhood!$F$9:$F$56)</f>
        <v>61006.97</v>
      </c>
      <c r="F5" s="6" t="n">
        <f aca="false">D5+E5</f>
        <v>71187.47</v>
      </c>
      <c r="G5" s="18" t="n">
        <f aca="false">F5/$F$69</f>
        <v>0.105358240813897</v>
      </c>
    </row>
    <row r="6" customFormat="false" ht="15" hidden="false" customHeight="false" outlineLevel="0" collapsed="false">
      <c r="A6" s="4" t="s">
        <v>76</v>
      </c>
      <c r="B6" s="4" t="s">
        <v>77</v>
      </c>
      <c r="C6" s="4" t="s">
        <v>74</v>
      </c>
      <c r="D6" s="5" t="n">
        <f aca="false">SUMIF('SEP IRA'!$A$8:$A$40,A6,'SEP IRA'!$H$8:$H$40)</f>
        <v>10390.8</v>
      </c>
      <c r="E6" s="5" t="n">
        <f aca="false">SUMIF(Robinhood!$A$9:$A$56,A6,Robinhood!$F$9:$F$56)</f>
        <v>59747.6</v>
      </c>
      <c r="F6" s="6" t="n">
        <f aca="false">D6+E6</f>
        <v>70138.4</v>
      </c>
      <c r="G6" s="18" t="n">
        <f aca="false">F6/$F$69</f>
        <v>0.103805605642418</v>
      </c>
    </row>
    <row r="7" customFormat="false" ht="15" hidden="false" customHeight="false" outlineLevel="0" collapsed="false">
      <c r="A7" s="4" t="s">
        <v>132</v>
      </c>
      <c r="B7" s="4" t="s">
        <v>133</v>
      </c>
      <c r="C7" s="4" t="s">
        <v>92</v>
      </c>
      <c r="D7" s="5" t="n">
        <f aca="false">SUMIF('SEP IRA'!$A$8:$A$40,A7,'SEP IRA'!$H$8:$H$40)</f>
        <v>42972.1</v>
      </c>
      <c r="E7" s="5" t="n">
        <f aca="false">SUMIF(Robinhood!$A$9:$A$56,A7,Robinhood!$F$9:$F$56)</f>
        <v>12984</v>
      </c>
      <c r="F7" s="6" t="n">
        <f aca="false">D7+E7</f>
        <v>55956.1</v>
      </c>
      <c r="G7" s="18" t="n">
        <f aca="false">F7/$F$69</f>
        <v>0.0828156452084406</v>
      </c>
    </row>
    <row r="8" customFormat="false" ht="15" hidden="false" customHeight="false" outlineLevel="0" collapsed="false">
      <c r="A8" s="4" t="s">
        <v>155</v>
      </c>
      <c r="B8" s="4" t="s">
        <v>156</v>
      </c>
      <c r="C8" s="4" t="s">
        <v>149</v>
      </c>
      <c r="D8" s="5" t="n">
        <f aca="false">SUMIF('SEP IRA'!$A$8:$A$40,A8,'SEP IRA'!$H$8:$H$40)</f>
        <v>18012.61</v>
      </c>
      <c r="E8" s="5" t="n">
        <f aca="false">SUMIF(Robinhood!$A$9:$A$56,A8,Robinhood!$F$9:$F$56)</f>
        <v>19996.87</v>
      </c>
      <c r="F8" s="6" t="n">
        <f aca="false">D8+E8</f>
        <v>38009.48</v>
      </c>
      <c r="G8" s="18" t="n">
        <f aca="false">F8/$F$69</f>
        <v>0.0562544496531624</v>
      </c>
    </row>
    <row r="9" customFormat="false" ht="15" hidden="false" customHeight="false" outlineLevel="0" collapsed="false">
      <c r="A9" s="4" t="s">
        <v>306</v>
      </c>
      <c r="B9" s="4" t="s">
        <v>307</v>
      </c>
      <c r="C9" s="4" t="s">
        <v>152</v>
      </c>
      <c r="D9" s="5" t="n">
        <f aca="false">SUMIF('SEP IRA'!$A$8:$A$40,A9,'SEP IRA'!$H$8:$H$40)</f>
        <v>0</v>
      </c>
      <c r="E9" s="5" t="n">
        <f aca="false">SUMIF(Robinhood!$A$9:$A$56,A9,Robinhood!$F$9:$F$56)</f>
        <v>28400.13</v>
      </c>
      <c r="F9" s="6" t="n">
        <f aca="false">D9+E9</f>
        <v>28400.13</v>
      </c>
      <c r="G9" s="18" t="n">
        <f aca="false">F9/$F$69</f>
        <v>0.0420325056598582</v>
      </c>
    </row>
    <row r="10" customFormat="false" ht="15" hidden="false" customHeight="false" outlineLevel="0" collapsed="false">
      <c r="A10" s="4" t="s">
        <v>87</v>
      </c>
      <c r="B10" s="4" t="s">
        <v>88</v>
      </c>
      <c r="C10" s="4" t="s">
        <v>85</v>
      </c>
      <c r="D10" s="5" t="n">
        <f aca="false">SUMIF('SEP IRA'!$A$8:$A$40,A10,'SEP IRA'!$H$8:$H$40)</f>
        <v>8867</v>
      </c>
      <c r="E10" s="5" t="n">
        <f aca="false">SUMIF(Robinhood!$A$9:$A$56,A10,Robinhood!$F$9:$F$56)</f>
        <v>17936.6</v>
      </c>
      <c r="F10" s="6" t="n">
        <f aca="false">D10+E10</f>
        <v>26803.6</v>
      </c>
      <c r="G10" s="18" t="n">
        <f aca="false">F10/$F$69</f>
        <v>0.0396696236497711</v>
      </c>
    </row>
    <row r="11" customFormat="false" ht="15" hidden="false" customHeight="false" outlineLevel="0" collapsed="false">
      <c r="A11" s="4" t="s">
        <v>111</v>
      </c>
      <c r="B11" s="4" t="s">
        <v>112</v>
      </c>
      <c r="C11" s="4" t="s">
        <v>108</v>
      </c>
      <c r="D11" s="5" t="n">
        <f aca="false">SUMIF('SEP IRA'!$A$8:$A$40,A11,'SEP IRA'!$H$8:$H$40)</f>
        <v>5519.5</v>
      </c>
      <c r="E11" s="5" t="n">
        <f aca="false">SUMIF(Robinhood!$A$9:$A$56,A11,Robinhood!$F$9:$F$56)</f>
        <v>20075</v>
      </c>
      <c r="F11" s="6" t="n">
        <f aca="false">D11+E11</f>
        <v>25594.5</v>
      </c>
      <c r="G11" s="18" t="n">
        <f aca="false">F11/$F$69</f>
        <v>0.0378801423131246</v>
      </c>
    </row>
    <row r="12" customFormat="false" ht="15" hidden="false" customHeight="false" outlineLevel="0" collapsed="false">
      <c r="A12" s="4" t="s">
        <v>293</v>
      </c>
      <c r="B12" s="4" t="s">
        <v>294</v>
      </c>
      <c r="C12" s="4" t="s">
        <v>74</v>
      </c>
      <c r="D12" s="5" t="n">
        <f aca="false">SUMIF('SEP IRA'!$A$8:$A$40,A12,'SEP IRA'!$H$8:$H$40)</f>
        <v>0</v>
      </c>
      <c r="E12" s="5" t="n">
        <f aca="false">SUMIF(Robinhood!$A$9:$A$56,A12,Robinhood!$F$9:$F$56)</f>
        <v>22926.4</v>
      </c>
      <c r="F12" s="6" t="n">
        <f aca="false">D12+E12</f>
        <v>22926.4</v>
      </c>
      <c r="G12" s="18" t="n">
        <f aca="false">F12/$F$69</f>
        <v>0.0339313248833781</v>
      </c>
    </row>
    <row r="13" customFormat="false" ht="15" hidden="false" customHeight="false" outlineLevel="0" collapsed="false">
      <c r="A13" s="4" t="s">
        <v>98</v>
      </c>
      <c r="B13" s="4" t="s">
        <v>98</v>
      </c>
      <c r="C13" s="4" t="s">
        <v>74</v>
      </c>
      <c r="D13" s="5" t="n">
        <f aca="false">SUMIF('SEP IRA'!$A$8:$A$40,A13,'SEP IRA'!$H$8:$H$40)</f>
        <v>4677.4</v>
      </c>
      <c r="E13" s="5" t="n">
        <f aca="false">SUMIF(Robinhood!$A$9:$A$56,A13,Robinhood!$F$9:$F$56)</f>
        <v>17892</v>
      </c>
      <c r="F13" s="6" t="n">
        <f aca="false">D13+E13</f>
        <v>22569.4</v>
      </c>
      <c r="G13" s="18" t="n">
        <f aca="false">F13/$F$69</f>
        <v>0.0334029609455873</v>
      </c>
    </row>
    <row r="14" customFormat="false" ht="15" hidden="false" customHeight="false" outlineLevel="0" collapsed="false">
      <c r="A14" s="4" t="s">
        <v>243</v>
      </c>
      <c r="B14" s="4" t="s">
        <v>244</v>
      </c>
      <c r="C14" s="4" t="s">
        <v>245</v>
      </c>
      <c r="D14" s="5" t="n">
        <f aca="false">SUMIF('SEP IRA'!$A$8:$A$40,A14,'SEP IRA'!$H$8:$H$40)</f>
        <v>0</v>
      </c>
      <c r="E14" s="5" t="n">
        <f aca="false">SUMIF(Robinhood!$A$9:$A$56,A14,Robinhood!$F$9:$F$56)</f>
        <v>20125.95</v>
      </c>
      <c r="F14" s="6" t="n">
        <f aca="false">D14+E14</f>
        <v>20125.95</v>
      </c>
      <c r="G14" s="18" t="n">
        <f aca="false">F14/$F$69</f>
        <v>0.0297866279937811</v>
      </c>
    </row>
    <row r="15" customFormat="false" ht="15" hidden="false" customHeight="false" outlineLevel="0" collapsed="false">
      <c r="A15" s="4" t="s">
        <v>106</v>
      </c>
      <c r="B15" s="4" t="s">
        <v>107</v>
      </c>
      <c r="C15" s="4" t="s">
        <v>108</v>
      </c>
      <c r="D15" s="5" t="n">
        <f aca="false">SUMIF('SEP IRA'!$A$8:$A$40,A15,'SEP IRA'!$H$8:$H$40)</f>
        <v>4793.65</v>
      </c>
      <c r="E15" s="5" t="n">
        <f aca="false">SUMIF(Robinhood!$A$9:$A$56,A15,Robinhood!$F$9:$F$56)</f>
        <v>12347.27</v>
      </c>
      <c r="F15" s="6" t="n">
        <f aca="false">D15+E15</f>
        <v>17140.92</v>
      </c>
      <c r="G15" s="18" t="n">
        <f aca="false">F15/$F$69</f>
        <v>0.025368750668225</v>
      </c>
    </row>
    <row r="16" customFormat="false" ht="15" hidden="false" customHeight="false" outlineLevel="0" collapsed="false">
      <c r="A16" s="4" t="s">
        <v>150</v>
      </c>
      <c r="B16" s="4" t="s">
        <v>151</v>
      </c>
      <c r="C16" s="4" t="s">
        <v>152</v>
      </c>
      <c r="D16" s="5" t="n">
        <f aca="false">SUMIF('SEP IRA'!$A$8:$A$40,A16,'SEP IRA'!$H$8:$H$40)</f>
        <v>16095</v>
      </c>
      <c r="E16" s="5" t="n">
        <f aca="false">SUMIF(Robinhood!$A$9:$A$56,A16,Robinhood!$F$9:$F$56)</f>
        <v>0</v>
      </c>
      <c r="F16" s="6" t="n">
        <f aca="false">D16+E16</f>
        <v>16095</v>
      </c>
      <c r="G16" s="18" t="n">
        <f aca="false">F16/$F$69</f>
        <v>0.0238207775314908</v>
      </c>
    </row>
    <row r="17" customFormat="false" ht="15" hidden="false" customHeight="false" outlineLevel="0" collapsed="false">
      <c r="A17" s="4" t="s">
        <v>314</v>
      </c>
      <c r="B17" s="4" t="s">
        <v>315</v>
      </c>
      <c r="C17" s="4" t="s">
        <v>262</v>
      </c>
      <c r="D17" s="5" t="n">
        <f aca="false">SUMIF('SEP IRA'!$A$8:$A$40,A17,'SEP IRA'!$H$8:$H$40)</f>
        <v>0</v>
      </c>
      <c r="E17" s="5" t="n">
        <f aca="false">SUMIF(Robinhood!$A$9:$A$56,A17,Robinhood!$F$9:$F$56)</f>
        <v>15708</v>
      </c>
      <c r="F17" s="6" t="n">
        <f aca="false">D17+E17</f>
        <v>15708</v>
      </c>
      <c r="G17" s="18" t="n">
        <f aca="false">F17/$F$69</f>
        <v>0.0232480132627932</v>
      </c>
    </row>
    <row r="18" customFormat="false" ht="15" hidden="false" customHeight="false" outlineLevel="0" collapsed="false">
      <c r="A18" s="4" t="s">
        <v>142</v>
      </c>
      <c r="B18" s="4" t="s">
        <v>143</v>
      </c>
      <c r="C18" s="4" t="s">
        <v>85</v>
      </c>
      <c r="D18" s="5" t="n">
        <f aca="false">SUMIF('SEP IRA'!$A$8:$A$40,A18,'SEP IRA'!$H$8:$H$40)</f>
        <v>3146.1</v>
      </c>
      <c r="E18" s="5" t="n">
        <f aca="false">SUMIF(Robinhood!$A$9:$A$56,A18,Robinhood!$F$9:$F$56)</f>
        <v>11297.08</v>
      </c>
      <c r="F18" s="6" t="n">
        <f aca="false">D18+E18</f>
        <v>14443.18</v>
      </c>
      <c r="G18" s="18" t="n">
        <f aca="false">F18/$F$69</f>
        <v>0.0213760657115425</v>
      </c>
    </row>
    <row r="19" customFormat="false" ht="15" hidden="false" customHeight="false" outlineLevel="0" collapsed="false">
      <c r="A19" s="4" t="s">
        <v>109</v>
      </c>
      <c r="B19" s="4" t="s">
        <v>110</v>
      </c>
      <c r="C19" s="4" t="s">
        <v>81</v>
      </c>
      <c r="D19" s="5" t="n">
        <f aca="false">SUMIF('SEP IRA'!$A$8:$A$40,A19,'SEP IRA'!$H$8:$H$40)</f>
        <v>14442.4</v>
      </c>
      <c r="E19" s="5" t="n">
        <f aca="false">SUMIF(Robinhood!$A$9:$A$56,A19,Robinhood!$F$9:$F$56)</f>
        <v>0</v>
      </c>
      <c r="F19" s="6" t="n">
        <f aca="false">D19+E19</f>
        <v>14442.4</v>
      </c>
      <c r="G19" s="18" t="n">
        <f aca="false">F19/$F$69</f>
        <v>0.021374911302939</v>
      </c>
    </row>
    <row r="20" customFormat="false" ht="15" hidden="false" customHeight="false" outlineLevel="0" collapsed="false">
      <c r="A20" s="4" t="s">
        <v>157</v>
      </c>
      <c r="B20" s="4" t="s">
        <v>158</v>
      </c>
      <c r="C20" s="4" t="s">
        <v>149</v>
      </c>
      <c r="D20" s="5" t="n">
        <f aca="false">SUMIF('SEP IRA'!$A$8:$A$40,A20,'SEP IRA'!$H$8:$H$40)</f>
        <v>2301.15</v>
      </c>
      <c r="E20" s="5" t="n">
        <f aca="false">SUMIF(Robinhood!$A$9:$A$56,A20,Robinhood!$F$9:$F$56)</f>
        <v>12027.01</v>
      </c>
      <c r="F20" s="6" t="n">
        <f aca="false">D20+E20</f>
        <v>14328.16</v>
      </c>
      <c r="G20" s="18" t="n">
        <f aca="false">F20/$F$69</f>
        <v>0.0212058348428459</v>
      </c>
    </row>
    <row r="21" customFormat="false" ht="15" hidden="false" customHeight="false" outlineLevel="0" collapsed="false">
      <c r="A21" s="4" t="s">
        <v>138</v>
      </c>
      <c r="B21" s="4" t="s">
        <v>139</v>
      </c>
      <c r="C21" s="4" t="s">
        <v>123</v>
      </c>
      <c r="D21" s="5" t="n">
        <f aca="false">SUMIF('SEP IRA'!$A$8:$A$40,A21,'SEP IRA'!$H$8:$H$40)</f>
        <v>7399.5</v>
      </c>
      <c r="E21" s="5" t="n">
        <f aca="false">SUMIF(Robinhood!$A$9:$A$56,A21,Robinhood!$F$9:$F$56)</f>
        <v>5561.5</v>
      </c>
      <c r="F21" s="6" t="n">
        <f aca="false">D21+E21</f>
        <v>12961</v>
      </c>
      <c r="G21" s="18" t="n">
        <f aca="false">F21/$F$69</f>
        <v>0.0191824229627619</v>
      </c>
    </row>
    <row r="22" customFormat="false" ht="15" hidden="false" customHeight="false" outlineLevel="0" collapsed="false">
      <c r="A22" s="4" t="s">
        <v>134</v>
      </c>
      <c r="B22" s="4" t="s">
        <v>135</v>
      </c>
      <c r="C22" s="4" t="s">
        <v>118</v>
      </c>
      <c r="D22" s="5" t="n">
        <f aca="false">SUMIF('SEP IRA'!$A$8:$A$40,A22,'SEP IRA'!$H$8:$H$40)</f>
        <v>6392</v>
      </c>
      <c r="E22" s="5" t="n">
        <f aca="false">SUMIF(Robinhood!$A$9:$A$56,A22,Robinhood!$F$9:$F$56)</f>
        <v>6505.87</v>
      </c>
      <c r="F22" s="6" t="n">
        <f aca="false">D22+E22</f>
        <v>12897.87</v>
      </c>
      <c r="G22" s="18" t="n">
        <f aca="false">F22/$F$69</f>
        <v>0.0190889898664237</v>
      </c>
    </row>
    <row r="23" customFormat="false" ht="15" hidden="false" customHeight="false" outlineLevel="0" collapsed="false">
      <c r="A23" s="4" t="s">
        <v>113</v>
      </c>
      <c r="B23" s="4" t="s">
        <v>114</v>
      </c>
      <c r="C23" s="4" t="s">
        <v>115</v>
      </c>
      <c r="D23" s="5" t="n">
        <f aca="false">SUMIF('SEP IRA'!$A$8:$A$40,A23,'SEP IRA'!$H$8:$H$40)</f>
        <v>12171</v>
      </c>
      <c r="E23" s="5" t="n">
        <f aca="false">SUMIF(Robinhood!$A$9:$A$56,A23,Robinhood!$F$9:$F$56)</f>
        <v>0</v>
      </c>
      <c r="F23" s="6" t="n">
        <f aca="false">D23+E23</f>
        <v>12171</v>
      </c>
      <c r="G23" s="18" t="n">
        <f aca="false">F23/$F$69</f>
        <v>0.0180132142488832</v>
      </c>
    </row>
    <row r="24" customFormat="false" ht="15" hidden="false" customHeight="false" outlineLevel="0" collapsed="false">
      <c r="A24" s="4" t="s">
        <v>121</v>
      </c>
      <c r="B24" s="4" t="s">
        <v>122</v>
      </c>
      <c r="C24" s="4" t="s">
        <v>123</v>
      </c>
      <c r="D24" s="5" t="n">
        <f aca="false">SUMIF('SEP IRA'!$A$8:$A$40,A24,'SEP IRA'!$H$8:$H$40)</f>
        <v>11182.8</v>
      </c>
      <c r="E24" s="5" t="n">
        <f aca="false">SUMIF(Robinhood!$A$9:$A$56,A24,Robinhood!$F$9:$F$56)</f>
        <v>0</v>
      </c>
      <c r="F24" s="6" t="n">
        <f aca="false">D24+E24</f>
        <v>11182.8</v>
      </c>
      <c r="G24" s="18" t="n">
        <f aca="false">F24/$F$69</f>
        <v>0.0165506673488136</v>
      </c>
    </row>
    <row r="25" customFormat="false" ht="15" hidden="false" customHeight="false" outlineLevel="0" collapsed="false">
      <c r="A25" s="4" t="s">
        <v>130</v>
      </c>
      <c r="B25" s="4" t="s">
        <v>131</v>
      </c>
      <c r="C25" s="4" t="s">
        <v>129</v>
      </c>
      <c r="D25" s="5" t="n">
        <f aca="false">SUMIF('SEP IRA'!$A$8:$A$40,A25,'SEP IRA'!$H$8:$H$40)</f>
        <v>1957.5</v>
      </c>
      <c r="E25" s="5" t="n">
        <f aca="false">SUMIF(Robinhood!$A$9:$A$56,A25,Robinhood!$F$9:$F$56)</f>
        <v>7475</v>
      </c>
      <c r="F25" s="6" t="n">
        <f aca="false">D25+E25</f>
        <v>9432.5</v>
      </c>
      <c r="G25" s="18" t="n">
        <f aca="false">F25/$F$69</f>
        <v>0.0139602040426087</v>
      </c>
    </row>
    <row r="26" customFormat="false" ht="15" hidden="false" customHeight="false" outlineLevel="0" collapsed="false">
      <c r="A26" s="4" t="s">
        <v>312</v>
      </c>
      <c r="B26" s="4" t="s">
        <v>313</v>
      </c>
      <c r="C26" s="4" t="s">
        <v>149</v>
      </c>
      <c r="D26" s="5" t="n">
        <f aca="false">SUMIF('SEP IRA'!$A$8:$A$40,A26,'SEP IRA'!$H$8:$H$40)</f>
        <v>0</v>
      </c>
      <c r="E26" s="5" t="n">
        <f aca="false">SUMIF(Robinhood!$A$9:$A$56,A26,Robinhood!$F$9:$F$56)</f>
        <v>8606.19</v>
      </c>
      <c r="F26" s="6" t="n">
        <f aca="false">D26+E26</f>
        <v>8606.19</v>
      </c>
      <c r="G26" s="18" t="n">
        <f aca="false">F26/$F$69</f>
        <v>0.0127372561282225</v>
      </c>
    </row>
    <row r="27" customFormat="false" ht="15" hidden="false" customHeight="false" outlineLevel="0" collapsed="false">
      <c r="A27" s="4" t="s">
        <v>103</v>
      </c>
      <c r="B27" s="4" t="s">
        <v>104</v>
      </c>
      <c r="C27" s="4" t="s">
        <v>74</v>
      </c>
      <c r="D27" s="5" t="n">
        <f aca="false">SUMIF('SEP IRA'!$A$8:$A$40,A27,'SEP IRA'!$H$8:$H$40)</f>
        <v>8585.1</v>
      </c>
      <c r="E27" s="5" t="n">
        <f aca="false">SUMIF(Robinhood!$A$9:$A$56,A27,Robinhood!$F$9:$F$56)</f>
        <v>0</v>
      </c>
      <c r="F27" s="6" t="n">
        <f aca="false">D27+E27</f>
        <v>8585.1</v>
      </c>
      <c r="G27" s="18" t="n">
        <f aca="false">F27/$F$69</f>
        <v>0.012706042695595</v>
      </c>
    </row>
    <row r="28" customFormat="false" ht="15" hidden="false" customHeight="false" outlineLevel="0" collapsed="false">
      <c r="A28" s="4" t="s">
        <v>83</v>
      </c>
      <c r="B28" s="4" t="s">
        <v>84</v>
      </c>
      <c r="C28" s="4" t="s">
        <v>85</v>
      </c>
      <c r="D28" s="5" t="n">
        <f aca="false">SUMIF('SEP IRA'!$A$8:$A$40,A28,'SEP IRA'!$H$8:$H$40)</f>
        <v>4717.5</v>
      </c>
      <c r="E28" s="5" t="n">
        <f aca="false">SUMIF(Robinhood!$A$9:$A$56,A28,Robinhood!$F$9:$F$56)</f>
        <v>2921</v>
      </c>
      <c r="F28" s="6" t="n">
        <f aca="false">D28+E28</f>
        <v>7638.5</v>
      </c>
      <c r="G28" s="18" t="n">
        <f aca="false">F28/$F$69</f>
        <v>0.0113050642543829</v>
      </c>
    </row>
    <row r="29" customFormat="false" ht="15" hidden="false" customHeight="false" outlineLevel="0" collapsed="false">
      <c r="A29" s="4" t="s">
        <v>159</v>
      </c>
      <c r="B29" s="4" t="s">
        <v>160</v>
      </c>
      <c r="C29" s="4" t="s">
        <v>152</v>
      </c>
      <c r="D29" s="5" t="n">
        <f aca="false">SUMIF('SEP IRA'!$A$8:$A$40,A29,'SEP IRA'!$H$8:$H$40)</f>
        <v>7596</v>
      </c>
      <c r="E29" s="5" t="n">
        <f aca="false">SUMIF(Robinhood!$A$9:$A$56,A29,Robinhood!$F$9:$F$56)</f>
        <v>0</v>
      </c>
      <c r="F29" s="6" t="n">
        <f aca="false">D29+E29</f>
        <v>7596</v>
      </c>
      <c r="G29" s="18" t="n">
        <f aca="false">F29/$F$69</f>
        <v>0.0112421637855983</v>
      </c>
    </row>
    <row r="30" customFormat="false" ht="15" hidden="false" customHeight="false" outlineLevel="0" collapsed="false">
      <c r="A30" s="4" t="s">
        <v>274</v>
      </c>
      <c r="B30" s="4" t="s">
        <v>275</v>
      </c>
      <c r="C30" s="4" t="s">
        <v>129</v>
      </c>
      <c r="D30" s="5" t="n">
        <f aca="false">SUMIF('SEP IRA'!$A$8:$A$40,A30,'SEP IRA'!$H$8:$H$40)</f>
        <v>0</v>
      </c>
      <c r="E30" s="5" t="n">
        <f aca="false">SUMIF(Robinhood!$A$9:$A$56,A30,Robinhood!$F$9:$F$56)</f>
        <v>7288</v>
      </c>
      <c r="F30" s="6" t="n">
        <f aca="false">D30+E30</f>
        <v>7288</v>
      </c>
      <c r="G30" s="18" t="n">
        <f aca="false">F30/$F$69</f>
        <v>0.0107863203882886</v>
      </c>
    </row>
    <row r="31" customFormat="false" ht="15" hidden="false" customHeight="false" outlineLevel="0" collapsed="false">
      <c r="A31" s="4" t="s">
        <v>290</v>
      </c>
      <c r="B31" s="4" t="s">
        <v>291</v>
      </c>
      <c r="C31" s="4" t="s">
        <v>81</v>
      </c>
      <c r="D31" s="5" t="n">
        <f aca="false">SUMIF('SEP IRA'!$A$8:$A$40,A31,'SEP IRA'!$H$8:$H$40)</f>
        <v>0</v>
      </c>
      <c r="E31" s="5" t="n">
        <f aca="false">SUMIF(Robinhood!$A$9:$A$56,A31,Robinhood!$F$9:$F$56)</f>
        <v>7139.4</v>
      </c>
      <c r="F31" s="6" t="n">
        <f aca="false">D31+E31</f>
        <v>7139.4</v>
      </c>
      <c r="G31" s="18" t="n">
        <f aca="false">F31/$F$69</f>
        <v>0.010566390749197</v>
      </c>
    </row>
    <row r="32" customFormat="false" ht="15" hidden="false" customHeight="false" outlineLevel="0" collapsed="false">
      <c r="A32" s="4" t="s">
        <v>324</v>
      </c>
      <c r="B32" s="4" t="s">
        <v>325</v>
      </c>
      <c r="C32" s="4" t="s">
        <v>115</v>
      </c>
      <c r="D32" s="5" t="n">
        <f aca="false">SUMIF('SEP IRA'!$A$8:$A$40,A32,'SEP IRA'!$H$8:$H$40)</f>
        <v>0</v>
      </c>
      <c r="E32" s="5" t="n">
        <f aca="false">SUMIF(Robinhood!$A$9:$A$56,A32,Robinhood!$F$9:$F$56)</f>
        <v>6864</v>
      </c>
      <c r="F32" s="6" t="n">
        <f aca="false">D32+E32</f>
        <v>6864</v>
      </c>
      <c r="G32" s="18" t="n">
        <f aca="false">F32/$F$69</f>
        <v>0.0101587957114727</v>
      </c>
    </row>
    <row r="33" customFormat="false" ht="15" hidden="false" customHeight="false" outlineLevel="0" collapsed="false">
      <c r="A33" s="4" t="s">
        <v>79</v>
      </c>
      <c r="B33" s="4" t="s">
        <v>80</v>
      </c>
      <c r="C33" s="4" t="s">
        <v>81</v>
      </c>
      <c r="D33" s="5" t="n">
        <f aca="false">SUMIF('SEP IRA'!$A$8:$A$40,A33,'SEP IRA'!$H$8:$H$40)</f>
        <v>6606.6</v>
      </c>
      <c r="E33" s="5" t="n">
        <f aca="false">SUMIF(Robinhood!$A$9:$A$56,A33,Robinhood!$F$9:$F$56)</f>
        <v>0</v>
      </c>
      <c r="F33" s="6" t="n">
        <f aca="false">D33+E33</f>
        <v>6606.6</v>
      </c>
      <c r="G33" s="18" t="n">
        <f aca="false">F33/$F$69</f>
        <v>0.00977784087229245</v>
      </c>
    </row>
    <row r="34" customFormat="false" ht="15" hidden="false" customHeight="false" outlineLevel="0" collapsed="false">
      <c r="A34" s="4" t="s">
        <v>119</v>
      </c>
      <c r="B34" s="4" t="s">
        <v>120</v>
      </c>
      <c r="C34" s="4" t="s">
        <v>96</v>
      </c>
      <c r="D34" s="5" t="n">
        <f aca="false">SUMIF('SEP IRA'!$A$8:$A$40,A34,'SEP IRA'!$H$8:$H$40)</f>
        <v>5992</v>
      </c>
      <c r="E34" s="5" t="n">
        <f aca="false">SUMIF(Robinhood!$A$9:$A$56,A34,Robinhood!$F$9:$F$56)</f>
        <v>0</v>
      </c>
      <c r="F34" s="6" t="n">
        <f aca="false">D34+E34</f>
        <v>5992</v>
      </c>
      <c r="G34" s="18" t="n">
        <f aca="false">F34/$F$69</f>
        <v>0.00886822609311543</v>
      </c>
    </row>
    <row r="35" customFormat="false" ht="15" hidden="false" customHeight="false" outlineLevel="0" collapsed="false">
      <c r="A35" s="4" t="s">
        <v>280</v>
      </c>
      <c r="B35" s="4" t="s">
        <v>281</v>
      </c>
      <c r="C35" s="4" t="s">
        <v>152</v>
      </c>
      <c r="D35" s="5" t="n">
        <f aca="false">SUMIF('SEP IRA'!$A$8:$A$40,A35,'SEP IRA'!$H$8:$H$40)</f>
        <v>0</v>
      </c>
      <c r="E35" s="5" t="n">
        <f aca="false">SUMIF(Robinhood!$A$9:$A$56,A35,Robinhood!$F$9:$F$56)</f>
        <v>5935.78</v>
      </c>
      <c r="F35" s="6" t="n">
        <f aca="false">D35+E35</f>
        <v>5935.78</v>
      </c>
      <c r="G35" s="18" t="n">
        <f aca="false">F35/$F$69</f>
        <v>0.00878501987299611</v>
      </c>
    </row>
    <row r="36" customFormat="false" ht="15" hidden="false" customHeight="false" outlineLevel="0" collapsed="false">
      <c r="A36" s="4" t="s">
        <v>218</v>
      </c>
      <c r="B36" s="4" t="s">
        <v>297</v>
      </c>
      <c r="C36" s="4" t="s">
        <v>74</v>
      </c>
      <c r="D36" s="5" t="n">
        <f aca="false">SUMIF('SEP IRA'!$A$8:$A$40,A36,'SEP IRA'!$H$8:$H$40)</f>
        <v>0</v>
      </c>
      <c r="E36" s="5" t="n">
        <f aca="false">SUMIF(Robinhood!$A$9:$A$56,A36,Robinhood!$F$9:$F$56)</f>
        <v>5019.7</v>
      </c>
      <c r="F36" s="6" t="n">
        <f aca="false">D36+E36</f>
        <v>5019.7</v>
      </c>
      <c r="G36" s="18" t="n">
        <f aca="false">F36/$F$69</f>
        <v>0.00742921136842649</v>
      </c>
    </row>
    <row r="37" customFormat="false" ht="15" hidden="false" customHeight="false" outlineLevel="0" collapsed="false">
      <c r="A37" s="4" t="s">
        <v>140</v>
      </c>
      <c r="B37" s="4" t="s">
        <v>141</v>
      </c>
      <c r="C37" s="4" t="s">
        <v>115</v>
      </c>
      <c r="D37" s="5" t="n">
        <f aca="false">SUMIF('SEP IRA'!$A$8:$A$40,A37,'SEP IRA'!$H$8:$H$40)</f>
        <v>1429.01</v>
      </c>
      <c r="E37" s="5" t="n">
        <f aca="false">SUMIF(Robinhood!$A$9:$A$56,A37,Robinhood!$F$9:$F$56)</f>
        <v>2440</v>
      </c>
      <c r="F37" s="6" t="n">
        <f aca="false">D37+E37</f>
        <v>3869.01</v>
      </c>
      <c r="G37" s="18" t="n">
        <f aca="false">F37/$F$69</f>
        <v>0.00572617747605549</v>
      </c>
    </row>
    <row r="38" customFormat="false" ht="15" hidden="false" customHeight="false" outlineLevel="0" collapsed="false">
      <c r="A38" s="4" t="s">
        <v>94</v>
      </c>
      <c r="B38" s="4" t="s">
        <v>95</v>
      </c>
      <c r="C38" s="4" t="s">
        <v>96</v>
      </c>
      <c r="D38" s="5" t="n">
        <f aca="false">SUMIF('SEP IRA'!$A$8:$A$40,A38,'SEP IRA'!$H$8:$H$40)</f>
        <v>3845.4</v>
      </c>
      <c r="E38" s="5" t="n">
        <f aca="false">SUMIF(Robinhood!$A$9:$A$56,A38,Robinhood!$F$9:$F$56)</f>
        <v>0</v>
      </c>
      <c r="F38" s="6" t="n">
        <f aca="false">D38+E38</f>
        <v>3845.4</v>
      </c>
      <c r="G38" s="18" t="n">
        <f aca="false">F38/$F$69</f>
        <v>0.00569123441563185</v>
      </c>
    </row>
    <row r="39" customFormat="false" ht="15" hidden="false" customHeight="false" outlineLevel="0" collapsed="false">
      <c r="A39" s="4" t="s">
        <v>116</v>
      </c>
      <c r="B39" s="4" t="s">
        <v>117</v>
      </c>
      <c r="C39" s="4" t="s">
        <v>118</v>
      </c>
      <c r="D39" s="5" t="n">
        <f aca="false">SUMIF('SEP IRA'!$A$8:$A$40,A39,'SEP IRA'!$H$8:$H$40)</f>
        <v>765.5</v>
      </c>
      <c r="E39" s="5" t="n">
        <f aca="false">SUMIF(Robinhood!$A$9:$A$56,A39,Robinhood!$F$9:$F$56)</f>
        <v>2996</v>
      </c>
      <c r="F39" s="6" t="n">
        <f aca="false">D39+E39</f>
        <v>3761.5</v>
      </c>
      <c r="G39" s="18" t="n">
        <f aca="false">F39/$F$69</f>
        <v>0.00556706149019587</v>
      </c>
    </row>
    <row r="40" customFormat="false" ht="15" hidden="false" customHeight="false" outlineLevel="0" collapsed="false">
      <c r="A40" s="4" t="s">
        <v>124</v>
      </c>
      <c r="B40" s="4" t="s">
        <v>125</v>
      </c>
      <c r="C40" s="4" t="s">
        <v>126</v>
      </c>
      <c r="D40" s="5" t="n">
        <f aca="false">SUMIF('SEP IRA'!$A$8:$A$40,A40,'SEP IRA'!$H$8:$H$40)</f>
        <v>3740.32</v>
      </c>
      <c r="E40" s="5" t="n">
        <f aca="false">SUMIF(Robinhood!$A$9:$A$56,A40,Robinhood!$F$9:$F$56)</f>
        <v>0</v>
      </c>
      <c r="F40" s="6" t="n">
        <f aca="false">D40+E40</f>
        <v>3740.32</v>
      </c>
      <c r="G40" s="18" t="n">
        <f aca="false">F40/$F$69</f>
        <v>0.00553571485657568</v>
      </c>
    </row>
    <row r="41" customFormat="false" ht="15" hidden="false" customHeight="false" outlineLevel="0" collapsed="false">
      <c r="A41" s="4" t="s">
        <v>304</v>
      </c>
      <c r="B41" s="4" t="s">
        <v>305</v>
      </c>
      <c r="C41" s="4" t="s">
        <v>129</v>
      </c>
      <c r="D41" s="5" t="n">
        <f aca="false">SUMIF('SEP IRA'!$A$8:$A$40,A41,'SEP IRA'!$H$8:$H$40)</f>
        <v>0</v>
      </c>
      <c r="E41" s="5" t="n">
        <f aca="false">SUMIF(Robinhood!$A$9:$A$56,A41,Robinhood!$F$9:$F$56)</f>
        <v>3622.78</v>
      </c>
      <c r="F41" s="6" t="n">
        <f aca="false">D41+E41</f>
        <v>3622.78</v>
      </c>
      <c r="G41" s="18" t="n">
        <f aca="false">F41/$F$69</f>
        <v>0.0053617543600829</v>
      </c>
    </row>
    <row r="42" customFormat="false" ht="15" hidden="false" customHeight="false" outlineLevel="0" collapsed="false">
      <c r="A42" s="4" t="s">
        <v>146</v>
      </c>
      <c r="B42" s="4" t="s">
        <v>147</v>
      </c>
      <c r="C42" s="4" t="s">
        <v>149</v>
      </c>
      <c r="D42" s="5" t="n">
        <f aca="false">SUMIF('SEP IRA'!$A$8:$A$40,A42,'SEP IRA'!$H$8:$H$40)</f>
        <v>3583.8</v>
      </c>
      <c r="E42" s="5" t="n">
        <f aca="false">SUMIF(Robinhood!$A$9:$A$56,A42,Robinhood!$F$9:$F$56)</f>
        <v>0</v>
      </c>
      <c r="F42" s="6" t="n">
        <f aca="false">D42+E42</f>
        <v>3583.8</v>
      </c>
      <c r="G42" s="18" t="n">
        <f aca="false">F42/$F$69</f>
        <v>0.00530406353012468</v>
      </c>
    </row>
    <row r="43" customFormat="false" ht="15" hidden="false" customHeight="false" outlineLevel="0" collapsed="false">
      <c r="A43" s="4" t="s">
        <v>301</v>
      </c>
      <c r="B43" s="4" t="s">
        <v>302</v>
      </c>
      <c r="C43" s="4" t="s">
        <v>303</v>
      </c>
      <c r="D43" s="5" t="n">
        <f aca="false">SUMIF('SEP IRA'!$A$8:$A$40,A43,'SEP IRA'!$H$8:$H$40)</f>
        <v>0</v>
      </c>
      <c r="E43" s="5" t="n">
        <f aca="false">SUMIF(Robinhood!$A$9:$A$56,A43,Robinhood!$F$9:$F$56)</f>
        <v>3507.4</v>
      </c>
      <c r="F43" s="6" t="n">
        <f aca="false">D43+E43</f>
        <v>3507.4</v>
      </c>
      <c r="G43" s="18" t="n">
        <f aca="false">F43/$F$69</f>
        <v>0.0051909906874154</v>
      </c>
    </row>
    <row r="44" customFormat="false" ht="15" hidden="false" customHeight="false" outlineLevel="0" collapsed="false">
      <c r="A44" s="4" t="s">
        <v>153</v>
      </c>
      <c r="B44" s="4" t="s">
        <v>154</v>
      </c>
      <c r="C44" s="4" t="s">
        <v>149</v>
      </c>
      <c r="D44" s="5" t="n">
        <f aca="false">SUMIF('SEP IRA'!$A$8:$A$40,A44,'SEP IRA'!$H$8:$H$40)</f>
        <v>3489</v>
      </c>
      <c r="E44" s="5" t="n">
        <f aca="false">SUMIF(Robinhood!$A$9:$A$56,A44,Robinhood!$F$9:$F$56)</f>
        <v>0</v>
      </c>
      <c r="F44" s="6" t="n">
        <f aca="false">D44+E44</f>
        <v>3489</v>
      </c>
      <c r="G44" s="18" t="n">
        <f aca="false">F44/$F$69</f>
        <v>0.00516375848445923</v>
      </c>
    </row>
    <row r="45" customFormat="false" ht="15" hidden="false" customHeight="false" outlineLevel="0" collapsed="false">
      <c r="A45" s="4" t="s">
        <v>283</v>
      </c>
      <c r="B45" s="4" t="s">
        <v>284</v>
      </c>
      <c r="C45" s="4" t="s">
        <v>85</v>
      </c>
      <c r="D45" s="5" t="n">
        <f aca="false">SUMIF('SEP IRA'!$A$8:$A$40,A45,'SEP IRA'!$H$8:$H$40)</f>
        <v>0</v>
      </c>
      <c r="E45" s="5" t="n">
        <f aca="false">SUMIF(Robinhood!$A$9:$A$56,A45,Robinhood!$F$9:$F$56)</f>
        <v>3409</v>
      </c>
      <c r="F45" s="6" t="n">
        <f aca="false">D45+E45</f>
        <v>3409</v>
      </c>
      <c r="G45" s="18" t="n">
        <f aca="false">F45/$F$69</f>
        <v>0.00504535760204114</v>
      </c>
    </row>
    <row r="46" customFormat="false" ht="15" hidden="false" customHeight="false" outlineLevel="0" collapsed="false">
      <c r="A46" s="4" t="s">
        <v>318</v>
      </c>
      <c r="B46" s="4" t="s">
        <v>319</v>
      </c>
      <c r="C46" s="4" t="s">
        <v>92</v>
      </c>
      <c r="D46" s="5" t="n">
        <f aca="false">SUMIF('SEP IRA'!$A$8:$A$40,A46,'SEP IRA'!$H$8:$H$40)</f>
        <v>0</v>
      </c>
      <c r="E46" s="5" t="n">
        <f aca="false">SUMIF(Robinhood!$A$9:$A$56,A46,Robinhood!$F$9:$F$56)</f>
        <v>3262</v>
      </c>
      <c r="F46" s="6" t="n">
        <f aca="false">D46+E46</f>
        <v>3262</v>
      </c>
      <c r="G46" s="18" t="n">
        <f aca="false">F46/$F$69</f>
        <v>0.00482779598059788</v>
      </c>
    </row>
    <row r="47" customFormat="false" ht="15" hidden="false" customHeight="false" outlineLevel="0" collapsed="false">
      <c r="A47" s="4" t="s">
        <v>136</v>
      </c>
      <c r="B47" s="4" t="s">
        <v>137</v>
      </c>
      <c r="C47" s="4" t="s">
        <v>108</v>
      </c>
      <c r="D47" s="5" t="n">
        <f aca="false">SUMIF('SEP IRA'!$A$8:$A$40,A47,'SEP IRA'!$H$8:$H$40)</f>
        <v>3133.4</v>
      </c>
      <c r="E47" s="5" t="n">
        <f aca="false">SUMIF(Robinhood!$A$9:$A$56,A47,Robinhood!$F$9:$F$56)</f>
        <v>0</v>
      </c>
      <c r="F47" s="6" t="n">
        <f aca="false">D47+E47</f>
        <v>3133.4</v>
      </c>
      <c r="G47" s="18" t="n">
        <f aca="false">F47/$F$69</f>
        <v>0.00463746656211079</v>
      </c>
    </row>
    <row r="48" customFormat="false" ht="15" hidden="false" customHeight="false" outlineLevel="0" collapsed="false">
      <c r="A48" s="4" t="s">
        <v>235</v>
      </c>
      <c r="B48" s="4" t="s">
        <v>236</v>
      </c>
      <c r="C48" s="4" t="s">
        <v>85</v>
      </c>
      <c r="D48" s="5" t="n">
        <f aca="false">SUMIF('SEP IRA'!$A$8:$A$40,A48,'SEP IRA'!$H$8:$H$40)</f>
        <v>0</v>
      </c>
      <c r="E48" s="5" t="n">
        <f aca="false">SUMIF(Robinhood!$A$9:$A$56,A48,Robinhood!$F$9:$F$56)</f>
        <v>2720.5</v>
      </c>
      <c r="F48" s="6" t="n">
        <f aca="false">D48+E48</f>
        <v>2720.5</v>
      </c>
      <c r="G48" s="18" t="n">
        <f aca="false">F48/$F$69</f>
        <v>0.00402637000773039</v>
      </c>
    </row>
    <row r="49" customFormat="false" ht="15" hidden="false" customHeight="false" outlineLevel="0" collapsed="false">
      <c r="A49" s="4" t="s">
        <v>254</v>
      </c>
      <c r="B49" s="4" t="s">
        <v>255</v>
      </c>
      <c r="C49" s="4" t="s">
        <v>126</v>
      </c>
      <c r="D49" s="5" t="n">
        <f aca="false">SUMIF('SEP IRA'!$A$8:$A$40,A49,'SEP IRA'!$H$8:$H$40)</f>
        <v>0</v>
      </c>
      <c r="E49" s="5" t="n">
        <f aca="false">SUMIF(Robinhood!$A$9:$A$56,A49,Robinhood!$F$9:$F$56)</f>
        <v>2691</v>
      </c>
      <c r="F49" s="6" t="n">
        <f aca="false">D49+E49</f>
        <v>2691</v>
      </c>
      <c r="G49" s="18" t="n">
        <f aca="false">F49/$F$69</f>
        <v>0.00398270968233872</v>
      </c>
    </row>
    <row r="50" customFormat="false" ht="15" hidden="false" customHeight="false" outlineLevel="0" collapsed="false">
      <c r="A50" s="4" t="s">
        <v>90</v>
      </c>
      <c r="B50" s="4" t="s">
        <v>91</v>
      </c>
      <c r="C50" s="4" t="s">
        <v>92</v>
      </c>
      <c r="D50" s="5" t="n">
        <f aca="false">SUMIF('SEP IRA'!$A$8:$A$40,A50,'SEP IRA'!$H$8:$H$40)</f>
        <v>2257.44</v>
      </c>
      <c r="E50" s="5" t="n">
        <f aca="false">SUMIF(Robinhood!$A$9:$A$56,A50,Robinhood!$F$9:$F$56)</f>
        <v>0</v>
      </c>
      <c r="F50" s="6" t="n">
        <f aca="false">D50+E50</f>
        <v>2257.44</v>
      </c>
      <c r="G50" s="18" t="n">
        <f aca="false">F50/$F$69</f>
        <v>0.00334103610007385</v>
      </c>
    </row>
    <row r="51" customFormat="false" ht="15" hidden="false" customHeight="false" outlineLevel="0" collapsed="false">
      <c r="A51" s="4" t="s">
        <v>299</v>
      </c>
      <c r="B51" s="4" t="s">
        <v>300</v>
      </c>
      <c r="C51" s="4" t="s">
        <v>108</v>
      </c>
      <c r="D51" s="5" t="n">
        <f aca="false">SUMIF('SEP IRA'!$A$8:$A$40,A51,'SEP IRA'!$H$8:$H$40)</f>
        <v>0</v>
      </c>
      <c r="E51" s="5" t="n">
        <f aca="false">SUMIF(Robinhood!$A$9:$A$56,A51,Robinhood!$F$9:$F$56)</f>
        <v>2172</v>
      </c>
      <c r="F51" s="6" t="n">
        <f aca="false">D51+E51</f>
        <v>2172</v>
      </c>
      <c r="G51" s="18" t="n">
        <f aca="false">F51/$F$69</f>
        <v>0.00321458395765132</v>
      </c>
    </row>
    <row r="52" customFormat="false" ht="15" hidden="false" customHeight="false" outlineLevel="0" collapsed="false">
      <c r="A52" s="4" t="s">
        <v>257</v>
      </c>
      <c r="B52" s="4" t="s">
        <v>258</v>
      </c>
      <c r="C52" s="4" t="s">
        <v>118</v>
      </c>
      <c r="D52" s="5" t="n">
        <f aca="false">SUMIF('SEP IRA'!$A$8:$A$40,A52,'SEP IRA'!$H$8:$H$40)</f>
        <v>0</v>
      </c>
      <c r="E52" s="5" t="n">
        <f aca="false">SUMIF(Robinhood!$A$9:$A$56,A52,Robinhood!$F$9:$F$56)</f>
        <v>2033</v>
      </c>
      <c r="F52" s="6" t="n">
        <f aca="false">D52+E52</f>
        <v>2033</v>
      </c>
      <c r="G52" s="18" t="n">
        <f aca="false">F52/$F$69</f>
        <v>0.00300886242444988</v>
      </c>
    </row>
    <row r="53" customFormat="false" ht="15" hidden="false" customHeight="false" outlineLevel="0" collapsed="false">
      <c r="A53" s="4" t="s">
        <v>316</v>
      </c>
      <c r="B53" s="4" t="s">
        <v>317</v>
      </c>
      <c r="C53" s="4" t="s">
        <v>96</v>
      </c>
      <c r="D53" s="5" t="n">
        <f aca="false">SUMIF('SEP IRA'!$A$8:$A$40,A53,'SEP IRA'!$H$8:$H$40)</f>
        <v>0</v>
      </c>
      <c r="E53" s="5" t="n">
        <f aca="false">SUMIF(Robinhood!$A$9:$A$56,A53,Robinhood!$F$9:$F$56)</f>
        <v>1905</v>
      </c>
      <c r="F53" s="6" t="n">
        <f aca="false">D53+E53</f>
        <v>1905</v>
      </c>
      <c r="G53" s="18" t="n">
        <f aca="false">F53/$F$69</f>
        <v>0.00281942101258092</v>
      </c>
    </row>
    <row r="54" customFormat="false" ht="15" hidden="false" customHeight="false" outlineLevel="0" collapsed="false">
      <c r="A54" s="4" t="s">
        <v>277</v>
      </c>
      <c r="B54" s="4" t="s">
        <v>278</v>
      </c>
      <c r="C54" s="4" t="s">
        <v>81</v>
      </c>
      <c r="D54" s="5" t="n">
        <f aca="false">SUMIF('SEP IRA'!$A$8:$A$40,A54,'SEP IRA'!$H$8:$H$40)</f>
        <v>0</v>
      </c>
      <c r="E54" s="5" t="n">
        <f aca="false">SUMIF(Robinhood!$A$9:$A$56,A54,Robinhood!$F$9:$F$56)</f>
        <v>1840</v>
      </c>
      <c r="F54" s="6" t="n">
        <f aca="false">D54+E54</f>
        <v>1840</v>
      </c>
      <c r="G54" s="18" t="n">
        <f aca="false">F54/$F$69</f>
        <v>0.00272322029561622</v>
      </c>
    </row>
    <row r="55" customFormat="false" ht="15" hidden="false" customHeight="false" outlineLevel="0" collapsed="false">
      <c r="A55" s="4" t="s">
        <v>322</v>
      </c>
      <c r="B55" s="4" t="s">
        <v>323</v>
      </c>
      <c r="C55" s="4" t="s">
        <v>126</v>
      </c>
      <c r="D55" s="5" t="n">
        <f aca="false">SUMIF('SEP IRA'!$A$8:$A$40,A55,'SEP IRA'!$H$8:$H$40)</f>
        <v>0</v>
      </c>
      <c r="E55" s="5" t="n">
        <f aca="false">SUMIF(Robinhood!$A$9:$A$56,A55,Robinhood!$F$9:$F$56)</f>
        <v>1565</v>
      </c>
      <c r="F55" s="6" t="n">
        <f aca="false">D55+E55</f>
        <v>1565</v>
      </c>
      <c r="G55" s="18" t="n">
        <f aca="false">F55/$F$69</f>
        <v>0.00231621726230401</v>
      </c>
    </row>
    <row r="56" customFormat="false" ht="15" hidden="false" customHeight="false" outlineLevel="0" collapsed="false">
      <c r="A56" s="4" t="s">
        <v>100</v>
      </c>
      <c r="B56" s="4" t="s">
        <v>101</v>
      </c>
      <c r="C56" s="4" t="s">
        <v>85</v>
      </c>
      <c r="D56" s="5" t="n">
        <f aca="false">SUMIF('SEP IRA'!$A$8:$A$40,A56,'SEP IRA'!$H$8:$H$40)</f>
        <v>1432.9</v>
      </c>
      <c r="E56" s="5" t="n">
        <f aca="false">SUMIF(Robinhood!$A$9:$A$56,A56,Robinhood!$F$9:$F$56)</f>
        <v>0</v>
      </c>
      <c r="F56" s="6" t="n">
        <f aca="false">D56+E56</f>
        <v>1432.9</v>
      </c>
      <c r="G56" s="18" t="n">
        <f aca="false">F56/$F$69</f>
        <v>0.00212070780521113</v>
      </c>
    </row>
    <row r="57" customFormat="false" ht="15" hidden="false" customHeight="false" outlineLevel="0" collapsed="false">
      <c r="A57" s="4" t="s">
        <v>320</v>
      </c>
      <c r="B57" s="4" t="s">
        <v>321</v>
      </c>
      <c r="C57" s="4" t="s">
        <v>96</v>
      </c>
      <c r="D57" s="5" t="n">
        <f aca="false">SUMIF('SEP IRA'!$A$8:$A$40,A57,'SEP IRA'!$H$8:$H$40)</f>
        <v>0</v>
      </c>
      <c r="E57" s="5" t="n">
        <f aca="false">SUMIF(Robinhood!$A$9:$A$56,A57,Robinhood!$F$9:$F$56)</f>
        <v>1316.1</v>
      </c>
      <c r="F57" s="6" t="n">
        <f aca="false">D57+E57</f>
        <v>1316.1</v>
      </c>
      <c r="G57" s="18" t="n">
        <f aca="false">F57/$F$69</f>
        <v>0.00194784251688071</v>
      </c>
    </row>
    <row r="58" customFormat="false" ht="15" hidden="false" customHeight="false" outlineLevel="0" collapsed="false">
      <c r="A58" s="4" t="s">
        <v>264</v>
      </c>
      <c r="B58" s="4" t="s">
        <v>265</v>
      </c>
      <c r="C58" s="4" t="s">
        <v>115</v>
      </c>
      <c r="D58" s="5" t="n">
        <f aca="false">SUMIF('SEP IRA'!$A$8:$A$40,A58,'SEP IRA'!$H$8:$H$40)</f>
        <v>0</v>
      </c>
      <c r="E58" s="5" t="n">
        <f aca="false">SUMIF(Robinhood!$A$9:$A$56,A58,Robinhood!$F$9:$F$56)</f>
        <v>1135</v>
      </c>
      <c r="F58" s="6" t="n">
        <f aca="false">D58+E58</f>
        <v>1135</v>
      </c>
      <c r="G58" s="18" t="n">
        <f aca="false">F58/$F$69</f>
        <v>0.00167981251930674</v>
      </c>
    </row>
    <row r="59" customFormat="false" ht="15" hidden="false" customHeight="false" outlineLevel="0" collapsed="false">
      <c r="A59" s="4" t="s">
        <v>310</v>
      </c>
      <c r="B59" s="4" t="s">
        <v>311</v>
      </c>
      <c r="C59" s="4" t="s">
        <v>118</v>
      </c>
      <c r="D59" s="5" t="n">
        <f aca="false">SUMIF('SEP IRA'!$A$8:$A$40,A59,'SEP IRA'!$H$8:$H$40)</f>
        <v>0</v>
      </c>
      <c r="E59" s="5" t="n">
        <f aca="false">SUMIF(Robinhood!$A$9:$A$56,A59,Robinhood!$F$9:$F$56)</f>
        <v>862</v>
      </c>
      <c r="F59" s="6" t="n">
        <f aca="false">D59+E59</f>
        <v>862</v>
      </c>
      <c r="G59" s="18" t="n">
        <f aca="false">F59/$F$69</f>
        <v>0.00127576950805499</v>
      </c>
    </row>
    <row r="60" customFormat="false" ht="15" hidden="false" customHeight="false" outlineLevel="0" collapsed="false">
      <c r="A60" s="4" t="s">
        <v>144</v>
      </c>
      <c r="B60" s="4" t="s">
        <v>145</v>
      </c>
      <c r="C60" s="4" t="s">
        <v>81</v>
      </c>
      <c r="D60" s="5" t="n">
        <f aca="false">SUMIF('SEP IRA'!$A$8:$A$40,A60,'SEP IRA'!$H$8:$H$40)</f>
        <v>378.4</v>
      </c>
      <c r="E60" s="5" t="n">
        <f aca="false">SUMIF(Robinhood!$A$9:$A$56,A60,Robinhood!$F$9:$F$56)</f>
        <v>474</v>
      </c>
      <c r="F60" s="6" t="n">
        <f aca="false">D60+E60</f>
        <v>852.4</v>
      </c>
      <c r="G60" s="18" t="n">
        <f aca="false">F60/$F$69</f>
        <v>0.00126156140216482</v>
      </c>
    </row>
    <row r="61" customFormat="false" ht="15" hidden="false" customHeight="false" outlineLevel="0" collapsed="false">
      <c r="A61" s="4" t="s">
        <v>247</v>
      </c>
      <c r="B61" s="4" t="s">
        <v>248</v>
      </c>
      <c r="C61" s="4" t="s">
        <v>249</v>
      </c>
      <c r="D61" s="5" t="n">
        <f aca="false">SUMIF('SEP IRA'!$A$8:$A$40,A61,'SEP IRA'!$H$8:$H$40)</f>
        <v>0</v>
      </c>
      <c r="E61" s="5" t="n">
        <f aca="false">SUMIF(Robinhood!$A$9:$A$56,A61,Robinhood!$F$9:$F$56)</f>
        <v>845</v>
      </c>
      <c r="F61" s="6" t="n">
        <f aca="false">D61+E61</f>
        <v>845</v>
      </c>
      <c r="G61" s="18" t="n">
        <f aca="false">F61/$F$69</f>
        <v>0.00125060932054114</v>
      </c>
    </row>
    <row r="62" customFormat="false" ht="15" hidden="false" customHeight="false" outlineLevel="0" collapsed="false">
      <c r="A62" s="4" t="s">
        <v>308</v>
      </c>
      <c r="B62" s="4" t="s">
        <v>309</v>
      </c>
      <c r="C62" s="4" t="s">
        <v>129</v>
      </c>
      <c r="D62" s="5" t="n">
        <f aca="false">SUMIF('SEP IRA'!$A$8:$A$40,A62,'SEP IRA'!$H$8:$H$40)</f>
        <v>0</v>
      </c>
      <c r="E62" s="5" t="n">
        <f aca="false">SUMIF(Robinhood!$A$9:$A$56,A62,Robinhood!$F$9:$F$56)</f>
        <v>810</v>
      </c>
      <c r="F62" s="6" t="n">
        <f aca="false">D62+E62</f>
        <v>810</v>
      </c>
      <c r="G62" s="18" t="n">
        <f aca="false">F62/$F$69</f>
        <v>0.00119880893448323</v>
      </c>
    </row>
    <row r="63" customFormat="false" ht="15" hidden="false" customHeight="false" outlineLevel="0" collapsed="false">
      <c r="A63" s="4" t="s">
        <v>271</v>
      </c>
      <c r="B63" s="4" t="s">
        <v>272</v>
      </c>
      <c r="C63" s="4" t="s">
        <v>115</v>
      </c>
      <c r="D63" s="5" t="n">
        <f aca="false">SUMIF('SEP IRA'!$A$8:$A$40,A63,'SEP IRA'!$H$8:$H$40)</f>
        <v>0</v>
      </c>
      <c r="E63" s="5" t="n">
        <f aca="false">SUMIF(Robinhood!$A$9:$A$56,A63,Robinhood!$F$9:$F$56)</f>
        <v>736.5</v>
      </c>
      <c r="F63" s="6" t="n">
        <f aca="false">D63+E63</f>
        <v>736.5</v>
      </c>
      <c r="G63" s="18" t="n">
        <f aca="false">F63/$F$69</f>
        <v>0.0010900281237616</v>
      </c>
    </row>
    <row r="64" customFormat="false" ht="15" hidden="false" customHeight="false" outlineLevel="0" collapsed="false">
      <c r="A64" s="4" t="s">
        <v>238</v>
      </c>
      <c r="B64" s="4" t="s">
        <v>239</v>
      </c>
      <c r="C64" s="4" t="s">
        <v>92</v>
      </c>
      <c r="D64" s="5" t="n">
        <f aca="false">SUMIF('SEP IRA'!$A$8:$A$40,A64,'SEP IRA'!$H$8:$H$40)</f>
        <v>0</v>
      </c>
      <c r="E64" s="5" t="n">
        <f aca="false">SUMIF(Robinhood!$A$9:$A$56,A64,Robinhood!$F$9:$F$56)</f>
        <v>655</v>
      </c>
      <c r="F64" s="6" t="n">
        <f aca="false">D64+E64</f>
        <v>655</v>
      </c>
      <c r="G64" s="18" t="n">
        <f aca="false">F64/$F$69</f>
        <v>0.000969407224798165</v>
      </c>
    </row>
    <row r="65" customFormat="false" ht="15" hidden="false" customHeight="false" outlineLevel="0" collapsed="false">
      <c r="A65" s="4" t="s">
        <v>287</v>
      </c>
      <c r="B65" s="4" t="s">
        <v>288</v>
      </c>
      <c r="C65" s="4" t="s">
        <v>126</v>
      </c>
      <c r="D65" s="5" t="n">
        <f aca="false">SUMIF('SEP IRA'!$A$8:$A$40,A65,'SEP IRA'!$H$8:$H$40)</f>
        <v>0</v>
      </c>
      <c r="E65" s="5" t="n">
        <f aca="false">SUMIF(Robinhood!$A$9:$A$56,A65,Robinhood!$F$9:$F$56)</f>
        <v>574</v>
      </c>
      <c r="F65" s="6" t="n">
        <f aca="false">D65+E65</f>
        <v>574</v>
      </c>
      <c r="G65" s="18" t="n">
        <f aca="false">F65/$F$69</f>
        <v>0.000849526331349842</v>
      </c>
    </row>
    <row r="66" customFormat="false" ht="15" hidden="false" customHeight="false" outlineLevel="0" collapsed="false">
      <c r="A66" s="4" t="s">
        <v>127</v>
      </c>
      <c r="B66" s="4" t="s">
        <v>128</v>
      </c>
      <c r="C66" s="4" t="s">
        <v>129</v>
      </c>
      <c r="D66" s="5" t="n">
        <f aca="false">SUMIF('SEP IRA'!$A$8:$A$40,A66,'SEP IRA'!$H$8:$H$40)</f>
        <v>153.18</v>
      </c>
      <c r="E66" s="5" t="n">
        <f aca="false">SUMIF(Robinhood!$A$9:$A$56,A66,Robinhood!$F$9:$F$56)</f>
        <v>0</v>
      </c>
      <c r="F66" s="6" t="n">
        <f aca="false">D66+E66</f>
        <v>153.18</v>
      </c>
      <c r="G66" s="18" t="n">
        <f aca="false">F66/$F$69</f>
        <v>0.00022670808961005</v>
      </c>
    </row>
    <row r="67" customFormat="false" ht="15" hidden="false" customHeight="false" outlineLevel="0" collapsed="false">
      <c r="A67" s="4" t="s">
        <v>260</v>
      </c>
      <c r="B67" s="4" t="s">
        <v>261</v>
      </c>
      <c r="C67" s="4" t="s">
        <v>262</v>
      </c>
      <c r="D67" s="5" t="n">
        <f aca="false">SUMIF('SEP IRA'!$A$8:$A$40,A67,'SEP IRA'!$H$8:$H$40)</f>
        <v>0</v>
      </c>
      <c r="E67" s="5" t="n">
        <f aca="false">SUMIF(Robinhood!$A$9:$A$56,A67,Robinhood!$F$9:$F$56)</f>
        <v>103.85</v>
      </c>
      <c r="F67" s="6" t="n">
        <f aca="false">D67+E67</f>
        <v>103.85</v>
      </c>
      <c r="G67" s="18" t="n">
        <f aca="false">F67/$F$69</f>
        <v>0.000153699145488992</v>
      </c>
    </row>
    <row r="68" customFormat="false" ht="15" hidden="false" customHeight="false" outlineLevel="0" collapsed="false">
      <c r="A68" s="4" t="s">
        <v>251</v>
      </c>
      <c r="B68" s="4" t="s">
        <v>252</v>
      </c>
      <c r="C68" s="4" t="s">
        <v>249</v>
      </c>
      <c r="D68" s="5" t="n">
        <f aca="false">SUMIF('SEP IRA'!$A$8:$A$40,A68,'SEP IRA'!$H$8:$H$40)</f>
        <v>0</v>
      </c>
      <c r="E68" s="5" t="n">
        <f aca="false">SUMIF(Robinhood!$A$9:$A$56,A68,Robinhood!$F$9:$F$56)</f>
        <v>1.63</v>
      </c>
      <c r="F68" s="6" t="n">
        <f aca="false">D68+E68</f>
        <v>1.63</v>
      </c>
      <c r="G68" s="18" t="n">
        <f aca="false">F68/$F$69</f>
        <v>2.41241797926872E-006</v>
      </c>
    </row>
    <row r="69" customFormat="false" ht="15" hidden="false" customHeight="false" outlineLevel="0" collapsed="false">
      <c r="B69" s="13" t="s">
        <v>161</v>
      </c>
      <c r="D69" s="20" t="n">
        <f aca="false">SUM(D5:D68)</f>
        <v>238206.56</v>
      </c>
      <c r="E69" s="20" t="n">
        <f aca="false">SUM(E5:E68)</f>
        <v>437464.08</v>
      </c>
      <c r="F69" s="20" t="n">
        <f aca="false">SUM(F5:F68)</f>
        <v>675670.64</v>
      </c>
    </row>
    <row r="70" customFormat="false" ht="15" hidden="false" customHeight="false" outlineLevel="0" collapsed="false">
      <c r="B70" s="4" t="s">
        <v>374</v>
      </c>
      <c r="F70" s="4" t="n">
        <f aca="false">SUMPRODUCT((D5:D68&gt;0)*(E5:E68&gt;0))</f>
        <v>17</v>
      </c>
    </row>
    <row r="71" customFormat="false" ht="15" hidden="false" customHeight="false" outlineLevel="0" collapsed="false">
      <c r="B71" s="4" t="s">
        <v>375</v>
      </c>
      <c r="F71" s="18" t="n">
        <f aca="false">SUMPRODUCT(LARGE(F5:F68,{1,2,3,4,5,6,7,8,9,10}))/F69</f>
        <v>0.564937126763418</v>
      </c>
    </row>
    <row r="72" customFormat="false" ht="15" hidden="false" customHeight="false" outlineLevel="0" collapsed="false">
      <c r="B72" s="4" t="s">
        <v>376</v>
      </c>
      <c r="F72" s="22" t="n">
        <f aca="false">1/SUMPRODUCT((F5:F68/F69)^2)</f>
        <v>21.6938042300783</v>
      </c>
    </row>
    <row r="74" customFormat="false" ht="15" hidden="false" customHeight="false" outlineLevel="0" collapsed="false">
      <c r="B74" s="13" t="s">
        <v>199</v>
      </c>
    </row>
    <row r="75" customFormat="false" ht="15" hidden="false" customHeight="false" outlineLevel="0" collapsed="false">
      <c r="B75" s="13" t="s">
        <v>59</v>
      </c>
      <c r="F75" s="13" t="s">
        <v>5</v>
      </c>
      <c r="G75" s="13" t="s">
        <v>377</v>
      </c>
    </row>
    <row r="76" customFormat="false" ht="15" hidden="false" customHeight="false" outlineLevel="0" collapsed="false">
      <c r="B76" s="4" t="s">
        <v>74</v>
      </c>
      <c r="F76" s="6" t="n">
        <f aca="false">SUMIF($C$5:$C$68,B76,$F$5:$F$68)</f>
        <v>200426.47</v>
      </c>
      <c r="G76" s="18" t="n">
        <f aca="false">F76/$F$69</f>
        <v>0.296633386349302</v>
      </c>
    </row>
    <row r="77" customFormat="false" ht="15" hidden="false" customHeight="false" outlineLevel="0" collapsed="false">
      <c r="B77" s="4" t="s">
        <v>149</v>
      </c>
      <c r="F77" s="6" t="n">
        <f aca="false">SUMIF($C$5:$C$68,B77,$F$5:$F$68)</f>
        <v>68016.63</v>
      </c>
      <c r="G77" s="18" t="n">
        <f aca="false">F77/$F$69</f>
        <v>0.100665362638815</v>
      </c>
    </row>
    <row r="78" customFormat="false" ht="15" hidden="false" customHeight="false" outlineLevel="0" collapsed="false">
      <c r="B78" s="4" t="s">
        <v>92</v>
      </c>
      <c r="F78" s="6" t="n">
        <f aca="false">SUMIF($C$5:$C$68,B78,$F$5:$F$68)</f>
        <v>62130.54</v>
      </c>
      <c r="G78" s="18" t="n">
        <f aca="false">F78/$F$69</f>
        <v>0.0919538845139105</v>
      </c>
    </row>
    <row r="79" customFormat="false" ht="15" hidden="false" customHeight="false" outlineLevel="0" collapsed="false">
      <c r="B79" s="4" t="s">
        <v>152</v>
      </c>
      <c r="F79" s="6" t="n">
        <f aca="false">SUMIF($C$5:$C$68,B79,$F$5:$F$68)</f>
        <v>58026.91</v>
      </c>
      <c r="G79" s="18" t="n">
        <f aca="false">F79/$F$69</f>
        <v>0.0858804668499433</v>
      </c>
    </row>
    <row r="80" customFormat="false" ht="15" hidden="false" customHeight="false" outlineLevel="0" collapsed="false">
      <c r="B80" s="4" t="s">
        <v>85</v>
      </c>
      <c r="F80" s="6" t="n">
        <f aca="false">SUMIF($C$5:$C$68,B80,$F$5:$F$68)</f>
        <v>56447.68</v>
      </c>
      <c r="G80" s="18" t="n">
        <f aca="false">F80/$F$69</f>
        <v>0.0835431890306792</v>
      </c>
    </row>
    <row r="81" customFormat="false" ht="15" hidden="false" customHeight="false" outlineLevel="0" collapsed="false">
      <c r="B81" s="4" t="s">
        <v>108</v>
      </c>
      <c r="F81" s="6" t="n">
        <f aca="false">SUMIF($C$5:$C$68,B81,$F$5:$F$68)</f>
        <v>48040.82</v>
      </c>
      <c r="G81" s="18" t="n">
        <f aca="false">F81/$F$69</f>
        <v>0.0711009435011117</v>
      </c>
    </row>
    <row r="82" customFormat="false" ht="15" hidden="false" customHeight="false" outlineLevel="0" collapsed="false">
      <c r="B82" s="4" t="s">
        <v>81</v>
      </c>
      <c r="F82" s="6" t="n">
        <f aca="false">SUMIF($C$5:$C$68,B82,$F$5:$F$68)</f>
        <v>30880.8</v>
      </c>
      <c r="G82" s="18" t="n">
        <f aca="false">F82/$F$69</f>
        <v>0.0457039246222094</v>
      </c>
    </row>
    <row r="83" customFormat="false" ht="15" hidden="false" customHeight="false" outlineLevel="0" collapsed="false">
      <c r="B83" s="4" t="s">
        <v>115</v>
      </c>
      <c r="F83" s="6" t="n">
        <f aca="false">SUMIF($C$5:$C$68,B83,$F$5:$F$68)</f>
        <v>24775.51</v>
      </c>
      <c r="G83" s="18" t="n">
        <f aca="false">F83/$F$69</f>
        <v>0.0366680280794797</v>
      </c>
    </row>
    <row r="84" customFormat="false" ht="15" hidden="false" customHeight="false" outlineLevel="0" collapsed="false">
      <c r="B84" s="4" t="s">
        <v>123</v>
      </c>
      <c r="F84" s="6" t="n">
        <f aca="false">SUMIF($C$5:$C$68,B84,$F$5:$F$68)</f>
        <v>24143.8</v>
      </c>
      <c r="G84" s="18" t="n">
        <f aca="false">F84/$F$69</f>
        <v>0.0357330903115755</v>
      </c>
    </row>
    <row r="85" customFormat="false" ht="15" hidden="false" customHeight="false" outlineLevel="0" collapsed="false">
      <c r="B85" s="4" t="s">
        <v>129</v>
      </c>
      <c r="F85" s="6" t="n">
        <f aca="false">SUMIF($C$5:$C$68,B85,$F$5:$F$68)</f>
        <v>21306.46</v>
      </c>
      <c r="G85" s="18" t="n">
        <f aca="false">F85/$F$69</f>
        <v>0.0315337958150735</v>
      </c>
    </row>
    <row r="86" customFormat="false" ht="15" hidden="false" customHeight="false" outlineLevel="0" collapsed="false">
      <c r="B86" s="4" t="s">
        <v>245</v>
      </c>
      <c r="F86" s="6" t="n">
        <f aca="false">SUMIF($C$5:$C$68,B86,$F$5:$F$68)</f>
        <v>20125.95</v>
      </c>
      <c r="G86" s="18" t="n">
        <f aca="false">F86/$F$69</f>
        <v>0.0297866279937811</v>
      </c>
    </row>
    <row r="87" customFormat="false" ht="15" hidden="false" customHeight="false" outlineLevel="0" collapsed="false">
      <c r="B87" s="4" t="s">
        <v>118</v>
      </c>
      <c r="F87" s="6" t="n">
        <f aca="false">SUMIF($C$5:$C$68,B87,$F$5:$F$68)</f>
        <v>19554.37</v>
      </c>
      <c r="G87" s="18" t="n">
        <f aca="false">F87/$F$69</f>
        <v>0.0289406832891244</v>
      </c>
    </row>
    <row r="88" customFormat="false" ht="15" hidden="false" customHeight="false" outlineLevel="0" collapsed="false">
      <c r="B88" s="4" t="s">
        <v>262</v>
      </c>
      <c r="F88" s="6" t="n">
        <f aca="false">SUMIF($C$5:$C$68,B88,$F$5:$F$68)</f>
        <v>15811.85</v>
      </c>
      <c r="G88" s="18" t="n">
        <f aca="false">F88/$F$69</f>
        <v>0.0234017124082822</v>
      </c>
    </row>
    <row r="89" customFormat="false" ht="15" hidden="false" customHeight="false" outlineLevel="0" collapsed="false">
      <c r="B89" s="4" t="s">
        <v>96</v>
      </c>
      <c r="F89" s="6" t="n">
        <f aca="false">SUMIF($C$5:$C$68,B89,$F$5:$F$68)</f>
        <v>13058.5</v>
      </c>
      <c r="G89" s="18" t="n">
        <f aca="false">F89/$F$69</f>
        <v>0.0193267240382089</v>
      </c>
    </row>
    <row r="90" customFormat="false" ht="15" hidden="false" customHeight="false" outlineLevel="0" collapsed="false">
      <c r="B90" s="4" t="s">
        <v>126</v>
      </c>
      <c r="F90" s="6" t="n">
        <f aca="false">SUMIF($C$5:$C$68,B90,$F$5:$F$68)</f>
        <v>8570.32</v>
      </c>
      <c r="G90" s="18" t="n">
        <f aca="false">F90/$F$69</f>
        <v>0.0126841681325683</v>
      </c>
    </row>
    <row r="91" customFormat="false" ht="15" hidden="false" customHeight="false" outlineLevel="0" collapsed="false">
      <c r="B91" s="4" t="s">
        <v>303</v>
      </c>
      <c r="F91" s="6" t="n">
        <f aca="false">SUMIF($C$5:$C$68,B91,$F$5:$F$68)</f>
        <v>3507.4</v>
      </c>
      <c r="G91" s="18" t="n">
        <f aca="false">F91/$F$69</f>
        <v>0.0051909906874154</v>
      </c>
    </row>
    <row r="92" customFormat="false" ht="15" hidden="false" customHeight="false" outlineLevel="0" collapsed="false">
      <c r="B92" s="4" t="s">
        <v>249</v>
      </c>
      <c r="F92" s="6" t="n">
        <f aca="false">SUMIF($C$5:$C$68,B92,$F$5:$F$68)</f>
        <v>846.63</v>
      </c>
      <c r="G92" s="18" t="n">
        <f aca="false">F92/$F$69</f>
        <v>0.00125302173852041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378</v>
      </c>
    </row>
    <row r="2" customFormat="false" ht="15" hidden="false" customHeight="false" outlineLevel="0" collapsed="false">
      <c r="A2" s="2" t="s">
        <v>379</v>
      </c>
    </row>
    <row r="4" customFormat="false" ht="26.85" hidden="false" customHeight="false" outlineLevel="0" collapsed="false">
      <c r="A4" s="3" t="s">
        <v>56</v>
      </c>
      <c r="B4" s="3" t="s">
        <v>57</v>
      </c>
      <c r="C4" s="3" t="s">
        <v>60</v>
      </c>
      <c r="D4" s="3" t="s">
        <v>61</v>
      </c>
      <c r="E4" s="3" t="s">
        <v>63</v>
      </c>
      <c r="F4" s="3" t="s">
        <v>66</v>
      </c>
      <c r="G4" s="3" t="s">
        <v>67</v>
      </c>
    </row>
    <row r="5" customFormat="false" ht="15" hidden="false" customHeight="false" outlineLevel="0" collapsed="false">
      <c r="A5" s="4" t="s">
        <v>380</v>
      </c>
      <c r="B5" s="4" t="s">
        <v>381</v>
      </c>
      <c r="C5" s="16" t="n">
        <v>10</v>
      </c>
      <c r="D5" s="28" t="n">
        <v>198.54</v>
      </c>
      <c r="E5" s="12" t="n">
        <v>1985.4</v>
      </c>
      <c r="F5" s="12" t="n">
        <v>0</v>
      </c>
      <c r="G5" s="18" t="n">
        <f aca="false">E5/$E$16</f>
        <v>0.178834253596231</v>
      </c>
    </row>
    <row r="6" customFormat="false" ht="15" hidden="false" customHeight="false" outlineLevel="0" collapsed="false">
      <c r="A6" s="4" t="s">
        <v>382</v>
      </c>
      <c r="B6" s="4" t="s">
        <v>383</v>
      </c>
      <c r="C6" s="16" t="n">
        <v>10</v>
      </c>
      <c r="D6" s="28" t="n">
        <v>190.51</v>
      </c>
      <c r="E6" s="12" t="n">
        <v>1905.1</v>
      </c>
      <c r="F6" s="12" t="n">
        <v>14</v>
      </c>
      <c r="G6" s="18" t="n">
        <f aca="false">E6/$E$16</f>
        <v>0.17160125744242</v>
      </c>
    </row>
    <row r="7" customFormat="false" ht="15" hidden="false" customHeight="false" outlineLevel="0" collapsed="false">
      <c r="A7" s="4" t="s">
        <v>384</v>
      </c>
      <c r="B7" s="4" t="s">
        <v>385</v>
      </c>
      <c r="C7" s="16" t="n">
        <v>10</v>
      </c>
      <c r="D7" s="28" t="n">
        <v>106.23</v>
      </c>
      <c r="E7" s="12" t="n">
        <v>1062.3</v>
      </c>
      <c r="F7" s="12" t="n">
        <v>0</v>
      </c>
      <c r="G7" s="18" t="n">
        <f aca="false">E7/$E$16</f>
        <v>0.095686323962565</v>
      </c>
    </row>
    <row r="8" customFormat="false" ht="15" hidden="false" customHeight="false" outlineLevel="0" collapsed="false">
      <c r="A8" s="4" t="s">
        <v>386</v>
      </c>
      <c r="B8" s="4" t="s">
        <v>387</v>
      </c>
      <c r="C8" s="16" t="n">
        <v>8</v>
      </c>
      <c r="D8" s="28" t="n">
        <v>12.62</v>
      </c>
      <c r="E8" s="12" t="n">
        <v>100.96</v>
      </c>
      <c r="F8" s="12" t="n">
        <v>0</v>
      </c>
      <c r="G8" s="18" t="n">
        <f aca="false">E8/$E$16</f>
        <v>0.00909393887532765</v>
      </c>
    </row>
    <row r="9" customFormat="false" ht="15" hidden="false" customHeight="false" outlineLevel="0" collapsed="false">
      <c r="A9" s="4" t="s">
        <v>293</v>
      </c>
      <c r="B9" s="4" t="s">
        <v>294</v>
      </c>
      <c r="C9" s="16" t="n">
        <v>10</v>
      </c>
      <c r="D9" s="28" t="n">
        <v>203.51</v>
      </c>
      <c r="E9" s="12" t="n">
        <v>2035.1</v>
      </c>
      <c r="F9" s="12" t="n">
        <v>20</v>
      </c>
      <c r="G9" s="18" t="n">
        <f aca="false">E9/$E$16</f>
        <v>0.183310964789811</v>
      </c>
    </row>
    <row r="10" customFormat="false" ht="15" hidden="false" customHeight="false" outlineLevel="0" collapsed="false">
      <c r="A10" s="4" t="s">
        <v>388</v>
      </c>
      <c r="B10" s="4" t="s">
        <v>389</v>
      </c>
      <c r="C10" s="16" t="n">
        <v>10</v>
      </c>
      <c r="D10" s="28" t="n">
        <v>116.53</v>
      </c>
      <c r="E10" s="12" t="n">
        <v>1165.3</v>
      </c>
      <c r="F10" s="12" t="n">
        <v>0</v>
      </c>
      <c r="G10" s="18" t="n">
        <f aca="false">E10/$E$16</f>
        <v>0.104964015168575</v>
      </c>
    </row>
    <row r="11" customFormat="false" ht="15" hidden="false" customHeight="false" outlineLevel="0" collapsed="false">
      <c r="A11" s="4" t="s">
        <v>390</v>
      </c>
      <c r="B11" s="4" t="s">
        <v>391</v>
      </c>
      <c r="C11" s="16" t="n">
        <v>10</v>
      </c>
      <c r="D11" s="28" t="n">
        <v>69.13</v>
      </c>
      <c r="E11" s="12" t="n">
        <v>691.3</v>
      </c>
      <c r="F11" s="12" t="n">
        <v>3</v>
      </c>
      <c r="G11" s="18" t="n">
        <f aca="false">E11/$E$16</f>
        <v>0.0622686206865492</v>
      </c>
    </row>
    <row r="12" customFormat="false" ht="15" hidden="false" customHeight="false" outlineLevel="0" collapsed="false">
      <c r="A12" s="4" t="s">
        <v>392</v>
      </c>
      <c r="B12" s="4" t="s">
        <v>393</v>
      </c>
      <c r="C12" s="16" t="n">
        <v>9</v>
      </c>
      <c r="D12" s="28" t="n">
        <v>104.94</v>
      </c>
      <c r="E12" s="12" t="n">
        <v>944.46</v>
      </c>
      <c r="F12" s="12" t="n">
        <v>0</v>
      </c>
      <c r="G12" s="18" t="n">
        <f aca="false">E12/$E$16</f>
        <v>0.0850719246255146</v>
      </c>
    </row>
    <row r="13" customFormat="false" ht="15" hidden="false" customHeight="false" outlineLevel="0" collapsed="false">
      <c r="A13" s="4" t="s">
        <v>142</v>
      </c>
      <c r="B13" s="4" t="s">
        <v>143</v>
      </c>
      <c r="C13" s="16" t="n">
        <v>10</v>
      </c>
      <c r="D13" s="28" t="n">
        <v>119.78</v>
      </c>
      <c r="E13" s="12" t="n">
        <v>1197.8</v>
      </c>
      <c r="F13" s="12" t="n">
        <v>22</v>
      </c>
      <c r="G13" s="18" t="n">
        <f aca="false">E13/$E$16</f>
        <v>0.107891442005423</v>
      </c>
    </row>
    <row r="14" customFormat="false" ht="15" hidden="false" customHeight="false" outlineLevel="0" collapsed="false">
      <c r="B14" s="13" t="s">
        <v>394</v>
      </c>
      <c r="E14" s="19" t="n">
        <f aca="false">SUM(E5:E13)</f>
        <v>11087.72</v>
      </c>
      <c r="F14" s="19" t="n">
        <f aca="false">SUM(F5:F13)</f>
        <v>59</v>
      </c>
    </row>
    <row r="15" customFormat="false" ht="15" hidden="false" customHeight="false" outlineLevel="0" collapsed="false">
      <c r="B15" s="4" t="s">
        <v>395</v>
      </c>
      <c r="E15" s="12" t="n">
        <v>14.18</v>
      </c>
    </row>
    <row r="16" customFormat="false" ht="15" hidden="false" customHeight="false" outlineLevel="0" collapsed="false">
      <c r="B16" s="13" t="s">
        <v>396</v>
      </c>
      <c r="E16" s="19" t="n">
        <f aca="false">E14+E15</f>
        <v>11101.9</v>
      </c>
    </row>
    <row r="18" customFormat="false" ht="15" hidden="false" customHeight="false" outlineLevel="0" collapsed="false">
      <c r="B18" s="4" t="s">
        <v>397</v>
      </c>
      <c r="E18" s="6" t="n">
        <f aca="false">SUMIF(B22:B38,"Deposit",D22:D38)</f>
        <v>11100</v>
      </c>
    </row>
    <row r="19" customFormat="false" ht="15" hidden="false" customHeight="false" outlineLevel="0" collapsed="false">
      <c r="B19" s="4" t="s">
        <v>398</v>
      </c>
      <c r="E19" s="6" t="n">
        <f aca="false">E16-E18</f>
        <v>1.89999999999964</v>
      </c>
    </row>
    <row r="21" customFormat="false" ht="15" hidden="false" customHeight="false" outlineLevel="0" collapsed="false">
      <c r="A21" s="3" t="s">
        <v>200</v>
      </c>
      <c r="B21" s="3" t="s">
        <v>201</v>
      </c>
      <c r="C21" s="3" t="s">
        <v>202</v>
      </c>
      <c r="D21" s="3" t="s">
        <v>203</v>
      </c>
    </row>
    <row r="22" customFormat="false" ht="15" hidden="false" customHeight="false" outlineLevel="0" collapsed="false">
      <c r="A22" s="4" t="s">
        <v>399</v>
      </c>
      <c r="B22" s="4" t="s">
        <v>400</v>
      </c>
      <c r="C22" s="4" t="s">
        <v>401</v>
      </c>
      <c r="D22" s="12" t="n">
        <v>1000</v>
      </c>
    </row>
    <row r="23" customFormat="false" ht="15" hidden="false" customHeight="false" outlineLevel="0" collapsed="false">
      <c r="A23" s="4" t="s">
        <v>402</v>
      </c>
      <c r="B23" s="4" t="s">
        <v>206</v>
      </c>
      <c r="C23" s="4" t="s">
        <v>403</v>
      </c>
      <c r="D23" s="12" t="n">
        <v>-945.87</v>
      </c>
    </row>
    <row r="24" customFormat="false" ht="15" hidden="false" customHeight="false" outlineLevel="0" collapsed="false">
      <c r="A24" s="4" t="s">
        <v>404</v>
      </c>
      <c r="B24" s="4" t="s">
        <v>400</v>
      </c>
      <c r="C24" s="4" t="s">
        <v>401</v>
      </c>
      <c r="D24" s="12" t="n">
        <v>10000</v>
      </c>
    </row>
    <row r="25" customFormat="false" ht="15" hidden="false" customHeight="false" outlineLevel="0" collapsed="false">
      <c r="A25" s="4" t="s">
        <v>405</v>
      </c>
      <c r="B25" s="4" t="s">
        <v>206</v>
      </c>
      <c r="C25" s="4" t="s">
        <v>406</v>
      </c>
      <c r="D25" s="12" t="n">
        <v>-999.12</v>
      </c>
    </row>
    <row r="26" customFormat="false" ht="15" hidden="false" customHeight="false" outlineLevel="0" collapsed="false">
      <c r="A26" s="4" t="s">
        <v>405</v>
      </c>
      <c r="B26" s="4" t="s">
        <v>206</v>
      </c>
      <c r="C26" s="4" t="s">
        <v>407</v>
      </c>
      <c r="D26" s="12" t="n">
        <v>-717.1</v>
      </c>
    </row>
    <row r="27" customFormat="false" ht="15" hidden="false" customHeight="false" outlineLevel="0" collapsed="false">
      <c r="A27" s="4" t="s">
        <v>405</v>
      </c>
      <c r="B27" s="4" t="s">
        <v>212</v>
      </c>
      <c r="C27" s="4" t="s">
        <v>408</v>
      </c>
      <c r="D27" s="12" t="n">
        <v>946.32</v>
      </c>
    </row>
    <row r="28" customFormat="false" ht="15" hidden="false" customHeight="false" outlineLevel="0" collapsed="false">
      <c r="A28" s="4" t="s">
        <v>409</v>
      </c>
      <c r="B28" s="4" t="s">
        <v>400</v>
      </c>
      <c r="C28" s="4" t="s">
        <v>401</v>
      </c>
      <c r="D28" s="12" t="n">
        <v>100</v>
      </c>
    </row>
    <row r="29" customFormat="false" ht="15" hidden="false" customHeight="false" outlineLevel="0" collapsed="false">
      <c r="A29" s="4" t="s">
        <v>409</v>
      </c>
      <c r="B29" s="4" t="s">
        <v>206</v>
      </c>
      <c r="C29" s="4" t="s">
        <v>410</v>
      </c>
      <c r="D29" s="12" t="n">
        <v>-585.51</v>
      </c>
    </row>
    <row r="30" customFormat="false" ht="15" hidden="false" customHeight="false" outlineLevel="0" collapsed="false">
      <c r="A30" s="4" t="s">
        <v>409</v>
      </c>
      <c r="B30" s="4" t="s">
        <v>206</v>
      </c>
      <c r="C30" s="4" t="s">
        <v>411</v>
      </c>
      <c r="D30" s="12" t="n">
        <v>-1368.45</v>
      </c>
    </row>
    <row r="31" customFormat="false" ht="15" hidden="false" customHeight="false" outlineLevel="0" collapsed="false">
      <c r="A31" s="4" t="s">
        <v>409</v>
      </c>
      <c r="B31" s="4" t="s">
        <v>206</v>
      </c>
      <c r="C31" s="4" t="s">
        <v>412</v>
      </c>
      <c r="D31" s="12" t="n">
        <v>-1899.69</v>
      </c>
    </row>
    <row r="32" customFormat="false" ht="15" hidden="false" customHeight="false" outlineLevel="0" collapsed="false">
      <c r="A32" s="4" t="s">
        <v>409</v>
      </c>
      <c r="B32" s="4" t="s">
        <v>206</v>
      </c>
      <c r="C32" s="4" t="s">
        <v>413</v>
      </c>
      <c r="D32" s="12" t="n">
        <v>-998.8</v>
      </c>
    </row>
    <row r="33" customFormat="false" ht="15" hidden="false" customHeight="false" outlineLevel="0" collapsed="false">
      <c r="A33" s="4" t="s">
        <v>409</v>
      </c>
      <c r="B33" s="4" t="s">
        <v>206</v>
      </c>
      <c r="C33" s="4" t="s">
        <v>414</v>
      </c>
      <c r="D33" s="12" t="n">
        <v>-1006.28</v>
      </c>
    </row>
    <row r="34" customFormat="false" ht="15" hidden="false" customHeight="false" outlineLevel="0" collapsed="false">
      <c r="A34" s="4" t="s">
        <v>409</v>
      </c>
      <c r="B34" s="4" t="s">
        <v>206</v>
      </c>
      <c r="C34" s="4" t="s">
        <v>415</v>
      </c>
      <c r="D34" s="12" t="n">
        <v>-1255.15</v>
      </c>
    </row>
    <row r="35" customFormat="false" ht="15" hidden="false" customHeight="false" outlineLevel="0" collapsed="false">
      <c r="A35" s="4" t="s">
        <v>409</v>
      </c>
      <c r="B35" s="4" t="s">
        <v>206</v>
      </c>
      <c r="C35" s="4" t="s">
        <v>416</v>
      </c>
      <c r="D35" s="12" t="n">
        <v>-1206.4</v>
      </c>
    </row>
    <row r="36" customFormat="false" ht="15" hidden="false" customHeight="false" outlineLevel="0" collapsed="false">
      <c r="A36" s="4" t="s">
        <v>417</v>
      </c>
      <c r="B36" s="4" t="s">
        <v>206</v>
      </c>
      <c r="C36" s="4" t="s">
        <v>418</v>
      </c>
      <c r="D36" s="12" t="n">
        <v>-104.6</v>
      </c>
    </row>
    <row r="37" customFormat="false" ht="15" hidden="false" customHeight="false" outlineLevel="0" collapsed="false">
      <c r="A37" s="4" t="s">
        <v>417</v>
      </c>
      <c r="B37" s="4" t="s">
        <v>206</v>
      </c>
      <c r="C37" s="4" t="s">
        <v>419</v>
      </c>
      <c r="D37" s="12" t="n">
        <v>-945.18</v>
      </c>
    </row>
    <row r="38" customFormat="false" ht="15" hidden="false" customHeight="false" outlineLevel="0" collapsed="false">
      <c r="A38" s="4" t="s">
        <v>417</v>
      </c>
      <c r="B38" s="4" t="s">
        <v>225</v>
      </c>
      <c r="C38" s="4" t="s">
        <v>420</v>
      </c>
      <c r="D38" s="12" t="n">
        <v>0.01</v>
      </c>
    </row>
    <row r="39" customFormat="false" ht="15" hidden="false" customHeight="false" outlineLevel="0" collapsed="false">
      <c r="C39" s="13" t="s">
        <v>421</v>
      </c>
      <c r="D39" s="19" t="n">
        <f aca="false">SUM(D22:D38)</f>
        <v>14.1799999999999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7" min="5" style="0" width="1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false" outlineLevel="0" max="14" min="14" style="0" width="44"/>
    <col collapsed="false" customWidth="true" hidden="false" outlineLevel="0" max="16" min="15" style="0" width="16"/>
  </cols>
  <sheetData>
    <row r="1" customFormat="false" ht="17.35" hidden="false" customHeight="false" outlineLevel="0" collapsed="false">
      <c r="A1" s="1" t="s">
        <v>422</v>
      </c>
    </row>
    <row r="2" customFormat="false" ht="15" hidden="false" customHeight="false" outlineLevel="0" collapsed="false">
      <c r="A2" s="7" t="s">
        <v>423</v>
      </c>
    </row>
    <row r="7" customFormat="false" ht="26.85" hidden="false" customHeight="false" outlineLevel="0" collapsed="false">
      <c r="A7" s="29" t="s">
        <v>56</v>
      </c>
      <c r="B7" s="29" t="s">
        <v>57</v>
      </c>
      <c r="C7" s="29" t="s">
        <v>58</v>
      </c>
      <c r="D7" s="29" t="s">
        <v>59</v>
      </c>
      <c r="E7" s="29" t="s">
        <v>60</v>
      </c>
      <c r="F7" s="29" t="s">
        <v>61</v>
      </c>
      <c r="G7" s="29" t="s">
        <v>62</v>
      </c>
      <c r="H7" s="29" t="s">
        <v>63</v>
      </c>
      <c r="I7" s="29" t="s">
        <v>64</v>
      </c>
      <c r="J7" s="29" t="s">
        <v>65</v>
      </c>
      <c r="K7" s="29" t="s">
        <v>66</v>
      </c>
      <c r="L7" s="29" t="s">
        <v>67</v>
      </c>
      <c r="N7" s="15" t="s">
        <v>68</v>
      </c>
      <c r="O7" s="15" t="s">
        <v>69</v>
      </c>
      <c r="P7" s="15" t="s">
        <v>70</v>
      </c>
    </row>
    <row r="8" customFormat="false" ht="15" hidden="false" customHeight="false" outlineLevel="0" collapsed="false">
      <c r="A8" s="4" t="s">
        <v>424</v>
      </c>
      <c r="B8" s="4" t="s">
        <v>425</v>
      </c>
      <c r="C8" s="4" t="s">
        <v>73</v>
      </c>
      <c r="D8" s="4" t="s">
        <v>74</v>
      </c>
      <c r="E8" s="16" t="n">
        <v>51</v>
      </c>
      <c r="F8" s="17" t="n">
        <v>335.41</v>
      </c>
      <c r="G8" s="12" t="n">
        <v>8746.95</v>
      </c>
      <c r="H8" s="12" t="n">
        <v>17105.91</v>
      </c>
      <c r="I8" s="12" t="n">
        <v>8358.96</v>
      </c>
      <c r="J8" s="18" t="n">
        <f aca="false">IF(G8=0,0,I8/G8)</f>
        <v>0.955642824070104</v>
      </c>
      <c r="K8" s="12" t="n">
        <v>44.88</v>
      </c>
      <c r="L8" s="18" t="n">
        <f aca="false">H8/$O$12</f>
        <v>0.158598212872632</v>
      </c>
      <c r="N8" s="4" t="s">
        <v>75</v>
      </c>
      <c r="O8" s="12" t="n">
        <v>99644.5</v>
      </c>
      <c r="P8" s="12" t="n">
        <v>97171.04</v>
      </c>
    </row>
    <row r="9" customFormat="false" ht="15" hidden="false" customHeight="false" outlineLevel="0" collapsed="false">
      <c r="A9" s="4" t="s">
        <v>76</v>
      </c>
      <c r="B9" s="4" t="s">
        <v>77</v>
      </c>
      <c r="C9" s="4" t="s">
        <v>73</v>
      </c>
      <c r="D9" s="4" t="s">
        <v>74</v>
      </c>
      <c r="E9" s="16" t="n">
        <v>4</v>
      </c>
      <c r="F9" s="17" t="n">
        <v>259.77</v>
      </c>
      <c r="G9" s="12" t="n">
        <v>1060.64</v>
      </c>
      <c r="H9" s="12" t="n">
        <v>1039.08</v>
      </c>
      <c r="I9" s="12" t="n">
        <v>-21.56</v>
      </c>
      <c r="J9" s="18" t="n">
        <f aca="false">IF(G9=0,0,I9/G9)</f>
        <v>-0.0203273495248152</v>
      </c>
      <c r="K9" s="12" t="n">
        <v>0</v>
      </c>
      <c r="L9" s="18" t="n">
        <f aca="false">H9/$O$12</f>
        <v>0.00963387689001602</v>
      </c>
      <c r="N9" s="4" t="s">
        <v>426</v>
      </c>
      <c r="O9" s="12" t="n">
        <v>1350</v>
      </c>
      <c r="P9" s="12" t="n">
        <v>10800</v>
      </c>
    </row>
    <row r="10" customFormat="false" ht="15" hidden="false" customHeight="false" outlineLevel="0" collapsed="false">
      <c r="A10" s="4" t="s">
        <v>427</v>
      </c>
      <c r="B10" s="4" t="s">
        <v>428</v>
      </c>
      <c r="C10" s="4" t="s">
        <v>73</v>
      </c>
      <c r="D10" s="4" t="s">
        <v>74</v>
      </c>
      <c r="E10" s="16" t="n">
        <v>30</v>
      </c>
      <c r="F10" s="17" t="n">
        <v>316.85</v>
      </c>
      <c r="G10" s="12" t="n">
        <v>3409.35</v>
      </c>
      <c r="H10" s="12" t="n">
        <v>9505.5</v>
      </c>
      <c r="I10" s="12" t="n">
        <v>6096.15</v>
      </c>
      <c r="J10" s="18" t="n">
        <f aca="false">IF(G10=0,0,I10/G10)</f>
        <v>1.78806810682388</v>
      </c>
      <c r="K10" s="12" t="n">
        <v>32.4</v>
      </c>
      <c r="L10" s="18" t="n">
        <f aca="false">H10/$O$12</f>
        <v>0.0881306701871341</v>
      </c>
      <c r="N10" s="4" t="s">
        <v>82</v>
      </c>
      <c r="O10" s="12" t="n">
        <v>152.27</v>
      </c>
      <c r="P10" s="12" t="n">
        <v>2458.4</v>
      </c>
    </row>
    <row r="11" customFormat="false" ht="15" hidden="false" customHeight="false" outlineLevel="0" collapsed="false">
      <c r="A11" s="4" t="s">
        <v>87</v>
      </c>
      <c r="B11" s="4" t="s">
        <v>88</v>
      </c>
      <c r="C11" s="4" t="s">
        <v>73</v>
      </c>
      <c r="D11" s="4" t="s">
        <v>85</v>
      </c>
      <c r="E11" s="16" t="n">
        <v>77</v>
      </c>
      <c r="F11" s="17" t="n">
        <v>88.67</v>
      </c>
      <c r="G11" s="12" t="n">
        <v>4569.75</v>
      </c>
      <c r="H11" s="12" t="n">
        <v>6827.59</v>
      </c>
      <c r="I11" s="12" t="n">
        <v>2257.84</v>
      </c>
      <c r="J11" s="18" t="n">
        <f aca="false">IF(G11=0,0,I11/G11)</f>
        <v>0.494083921439904</v>
      </c>
      <c r="K11" s="12" t="n">
        <v>163.24</v>
      </c>
      <c r="L11" s="18" t="n">
        <f aca="false">H11/$O$12</f>
        <v>0.0633023073444821</v>
      </c>
      <c r="N11" s="4" t="s">
        <v>86</v>
      </c>
      <c r="O11" s="12" t="n">
        <v>6862.39</v>
      </c>
      <c r="P11" s="12" t="n">
        <v>-114.15</v>
      </c>
    </row>
    <row r="12" customFormat="false" ht="15" hidden="false" customHeight="false" outlineLevel="0" collapsed="false">
      <c r="A12" s="4" t="s">
        <v>429</v>
      </c>
      <c r="B12" s="4" t="s">
        <v>430</v>
      </c>
      <c r="C12" s="4" t="s">
        <v>73</v>
      </c>
      <c r="D12" s="4" t="s">
        <v>108</v>
      </c>
      <c r="E12" s="16" t="n">
        <v>10</v>
      </c>
      <c r="F12" s="17" t="n">
        <v>89.51</v>
      </c>
      <c r="G12" s="12" t="n">
        <v>1039.6</v>
      </c>
      <c r="H12" s="12" t="n">
        <v>895.1</v>
      </c>
      <c r="I12" s="12" t="n">
        <v>-144.5</v>
      </c>
      <c r="J12" s="18" t="n">
        <f aca="false">IF(G12=0,0,I12/G12)</f>
        <v>-0.138995767602924</v>
      </c>
      <c r="K12" s="12" t="n">
        <v>0</v>
      </c>
      <c r="L12" s="18" t="n">
        <f aca="false">H12/$O$12</f>
        <v>0.00829895985319065</v>
      </c>
      <c r="N12" s="4" t="s">
        <v>89</v>
      </c>
      <c r="O12" s="19" t="n">
        <f aca="false">O8+O9+O11</f>
        <v>107856.89</v>
      </c>
      <c r="P12" s="19" t="n">
        <f aca="false">P8+P9+P11</f>
        <v>107856.89</v>
      </c>
    </row>
    <row r="13" customFormat="false" ht="15" hidden="false" customHeight="false" outlineLevel="0" collapsed="false">
      <c r="A13" s="4" t="s">
        <v>431</v>
      </c>
      <c r="B13" s="4" t="s">
        <v>432</v>
      </c>
      <c r="C13" s="4" t="s">
        <v>73</v>
      </c>
      <c r="D13" s="4" t="s">
        <v>81</v>
      </c>
      <c r="E13" s="16" t="n">
        <v>30</v>
      </c>
      <c r="F13" s="17" t="n">
        <v>115.35</v>
      </c>
      <c r="G13" s="12" t="n">
        <v>1251.52</v>
      </c>
      <c r="H13" s="12" t="n">
        <v>3460.5</v>
      </c>
      <c r="I13" s="12" t="n">
        <v>2208.98</v>
      </c>
      <c r="J13" s="18" t="n">
        <f aca="false">IF(G13=0,0,I13/G13)</f>
        <v>1.76503771413961</v>
      </c>
      <c r="K13" s="12" t="n">
        <v>103.68</v>
      </c>
      <c r="L13" s="18" t="n">
        <f aca="false">H13/$O$12</f>
        <v>0.0320841811774844</v>
      </c>
      <c r="N13" s="4" t="s">
        <v>93</v>
      </c>
      <c r="O13" s="18" t="n">
        <f aca="false">O11/(O8+O9/2)</f>
        <v>0.0684053449229711</v>
      </c>
      <c r="P13" s="18" t="n">
        <f aca="false">P11/(P8+P9/2)</f>
        <v>-0.00111288722430815</v>
      </c>
    </row>
    <row r="14" customFormat="false" ht="15" hidden="false" customHeight="false" outlineLevel="0" collapsed="false">
      <c r="A14" s="4" t="s">
        <v>293</v>
      </c>
      <c r="B14" s="4" t="s">
        <v>294</v>
      </c>
      <c r="C14" s="4" t="s">
        <v>73</v>
      </c>
      <c r="D14" s="4" t="s">
        <v>74</v>
      </c>
      <c r="E14" s="16" t="n">
        <v>21</v>
      </c>
      <c r="F14" s="17" t="n">
        <v>507.29</v>
      </c>
      <c r="G14" s="12" t="n">
        <v>4871.69</v>
      </c>
      <c r="H14" s="12" t="n">
        <v>10653.09</v>
      </c>
      <c r="I14" s="12" t="n">
        <v>5781.4</v>
      </c>
      <c r="J14" s="18" t="n">
        <f aca="false">IF(G14=0,0,I14/G14)</f>
        <v>1.18673396706276</v>
      </c>
      <c r="K14" s="12" t="n">
        <v>76.44</v>
      </c>
      <c r="L14" s="18" t="n">
        <f aca="false">H14/$O$12</f>
        <v>0.0987706024158494</v>
      </c>
      <c r="N14" s="4" t="s">
        <v>97</v>
      </c>
      <c r="O14" s="12" t="n">
        <v>825.08</v>
      </c>
      <c r="P14" s="12" t="n">
        <v>-1835.97</v>
      </c>
    </row>
    <row r="15" customFormat="false" ht="15" hidden="false" customHeight="false" outlineLevel="0" collapsed="false">
      <c r="A15" s="4" t="s">
        <v>121</v>
      </c>
      <c r="B15" s="4" t="s">
        <v>122</v>
      </c>
      <c r="C15" s="4" t="s">
        <v>73</v>
      </c>
      <c r="D15" s="4" t="s">
        <v>123</v>
      </c>
      <c r="E15" s="16" t="n">
        <v>65</v>
      </c>
      <c r="F15" s="17" t="n">
        <v>186.38</v>
      </c>
      <c r="G15" s="12" t="n">
        <v>3722.23</v>
      </c>
      <c r="H15" s="12" t="n">
        <v>12114.7</v>
      </c>
      <c r="I15" s="12" t="n">
        <v>8392.47</v>
      </c>
      <c r="J15" s="18" t="n">
        <f aca="false">IF(G15=0,0,I15/G15)</f>
        <v>2.25468872154596</v>
      </c>
      <c r="K15" s="12" t="n">
        <v>0</v>
      </c>
      <c r="L15" s="18" t="n">
        <f aca="false">H15/$O$12</f>
        <v>0.112321985178694</v>
      </c>
      <c r="N15" s="4" t="s">
        <v>433</v>
      </c>
      <c r="P15" s="12" t="n">
        <v>-7252.17</v>
      </c>
    </row>
    <row r="16" customFormat="false" ht="15" hidden="false" customHeight="false" outlineLevel="0" collapsed="false">
      <c r="A16" s="4" t="s">
        <v>434</v>
      </c>
      <c r="B16" s="4" t="s">
        <v>435</v>
      </c>
      <c r="C16" s="4" t="s">
        <v>73</v>
      </c>
      <c r="D16" s="4" t="s">
        <v>96</v>
      </c>
      <c r="E16" s="16" t="n">
        <v>50</v>
      </c>
      <c r="F16" s="17" t="n">
        <v>3.59</v>
      </c>
      <c r="G16" s="12" t="n">
        <v>314</v>
      </c>
      <c r="H16" s="12" t="n">
        <v>179.5</v>
      </c>
      <c r="I16" s="12" t="n">
        <v>-134.5</v>
      </c>
      <c r="J16" s="18" t="n">
        <f aca="false">IF(G16=0,0,I16/G16)</f>
        <v>-0.428343949044586</v>
      </c>
      <c r="K16" s="12" t="n">
        <v>0</v>
      </c>
      <c r="L16" s="18" t="n">
        <f aca="false">H16/$O$12</f>
        <v>0.00166424231219721</v>
      </c>
      <c r="N16" s="4" t="s">
        <v>436</v>
      </c>
      <c r="P16" s="12" t="n">
        <v>5416.2</v>
      </c>
    </row>
    <row r="17" customFormat="false" ht="15" hidden="false" customHeight="false" outlineLevel="0" collapsed="false">
      <c r="A17" s="4" t="s">
        <v>132</v>
      </c>
      <c r="B17" s="4" t="s">
        <v>133</v>
      </c>
      <c r="C17" s="4" t="s">
        <v>73</v>
      </c>
      <c r="D17" s="4" t="s">
        <v>92</v>
      </c>
      <c r="E17" s="16" t="n">
        <v>25</v>
      </c>
      <c r="F17" s="17" t="n">
        <v>104.81</v>
      </c>
      <c r="G17" s="12" t="n">
        <v>1484.76</v>
      </c>
      <c r="H17" s="12" t="n">
        <v>2620.25</v>
      </c>
      <c r="I17" s="12" t="n">
        <v>1135.49</v>
      </c>
      <c r="J17" s="18" t="n">
        <f aca="false">IF(G17=0,0,I17/G17)</f>
        <v>0.764763328753469</v>
      </c>
      <c r="K17" s="12" t="n">
        <v>0</v>
      </c>
      <c r="L17" s="18" t="n">
        <f aca="false">H17/$O$12</f>
        <v>0.0242937655628676</v>
      </c>
      <c r="N17" s="4" t="s">
        <v>99</v>
      </c>
      <c r="O17" s="12" t="n">
        <v>-3500.24</v>
      </c>
      <c r="P17" s="12" t="n">
        <v>-16575.66</v>
      </c>
    </row>
    <row r="18" customFormat="false" ht="15" hidden="false" customHeight="false" outlineLevel="0" collapsed="false">
      <c r="A18" s="4" t="s">
        <v>437</v>
      </c>
      <c r="B18" s="4" t="s">
        <v>438</v>
      </c>
      <c r="C18" s="4" t="s">
        <v>73</v>
      </c>
      <c r="D18" s="4" t="s">
        <v>118</v>
      </c>
      <c r="E18" s="16" t="n">
        <v>10</v>
      </c>
      <c r="F18" s="17" t="n">
        <v>143.69</v>
      </c>
      <c r="G18" s="12" t="n">
        <v>1400</v>
      </c>
      <c r="H18" s="12" t="n">
        <v>1436.9</v>
      </c>
      <c r="I18" s="12" t="n">
        <v>36.9</v>
      </c>
      <c r="J18" s="18" t="n">
        <f aca="false">IF(G18=0,0,I18/G18)</f>
        <v>0.0263571428571429</v>
      </c>
      <c r="K18" s="12" t="n">
        <v>0</v>
      </c>
      <c r="L18" s="18" t="n">
        <f aca="false">H18/$O$12</f>
        <v>0.0133222828880009</v>
      </c>
      <c r="N18" s="4" t="s">
        <v>102</v>
      </c>
      <c r="O18" s="12" t="n">
        <v>21708.09</v>
      </c>
      <c r="P18" s="12" t="n">
        <v>25256.89</v>
      </c>
    </row>
    <row r="19" customFormat="false" ht="15" hidden="false" customHeight="false" outlineLevel="0" collapsed="false">
      <c r="A19" s="4" t="s">
        <v>439</v>
      </c>
      <c r="B19" s="4" t="s">
        <v>440</v>
      </c>
      <c r="C19" s="4" t="s">
        <v>73</v>
      </c>
      <c r="D19" s="4" t="s">
        <v>123</v>
      </c>
      <c r="E19" s="16" t="n">
        <v>50</v>
      </c>
      <c r="F19" s="17" t="n">
        <v>39.67</v>
      </c>
      <c r="G19" s="12" t="n">
        <v>1469.03</v>
      </c>
      <c r="H19" s="12" t="n">
        <v>1983.5</v>
      </c>
      <c r="I19" s="12" t="n">
        <v>514.47</v>
      </c>
      <c r="J19" s="18" t="n">
        <f aca="false">IF(G19=0,0,I19/G19)</f>
        <v>0.350210683239961</v>
      </c>
      <c r="K19" s="12" t="n">
        <v>0</v>
      </c>
      <c r="L19" s="18" t="n">
        <f aca="false">H19/$O$12</f>
        <v>0.018390109338402</v>
      </c>
      <c r="N19" s="4" t="s">
        <v>441</v>
      </c>
      <c r="O19" s="12" t="n">
        <v>22081.2</v>
      </c>
      <c r="P19" s="12" t="n">
        <v>22081.2</v>
      </c>
    </row>
    <row r="20" customFormat="false" ht="15" hidden="false" customHeight="false" outlineLevel="0" collapsed="false">
      <c r="A20" s="4" t="s">
        <v>442</v>
      </c>
      <c r="B20" s="4" t="s">
        <v>443</v>
      </c>
      <c r="C20" s="4" t="s">
        <v>73</v>
      </c>
      <c r="D20" s="4" t="s">
        <v>126</v>
      </c>
      <c r="E20" s="16" t="n">
        <v>100</v>
      </c>
      <c r="F20" s="17" t="n">
        <v>4.77</v>
      </c>
      <c r="G20" s="12" t="n">
        <v>1071</v>
      </c>
      <c r="H20" s="12" t="n">
        <v>477</v>
      </c>
      <c r="I20" s="12" t="n">
        <v>-594</v>
      </c>
      <c r="J20" s="18" t="n">
        <f aca="false">IF(G20=0,0,I20/G20)</f>
        <v>-0.554621848739496</v>
      </c>
      <c r="K20" s="12" t="n">
        <v>0</v>
      </c>
      <c r="L20" s="18" t="n">
        <f aca="false">H20/$O$12</f>
        <v>0.00442252692433464</v>
      </c>
    </row>
    <row r="21" customFormat="false" ht="15" hidden="false" customHeight="false" outlineLevel="0" collapsed="false">
      <c r="A21" s="4" t="s">
        <v>140</v>
      </c>
      <c r="B21" s="4" t="s">
        <v>141</v>
      </c>
      <c r="C21" s="4" t="s">
        <v>73</v>
      </c>
      <c r="D21" s="4" t="s">
        <v>115</v>
      </c>
      <c r="E21" s="16" t="n">
        <v>700</v>
      </c>
      <c r="F21" s="17" t="n">
        <v>1.429</v>
      </c>
      <c r="G21" s="12" t="n">
        <v>1342.43</v>
      </c>
      <c r="H21" s="12" t="n">
        <v>1000.31</v>
      </c>
      <c r="I21" s="12" t="n">
        <v>-342.13</v>
      </c>
      <c r="J21" s="18" t="n">
        <f aca="false">IF(G21=0,0,I21/G21)</f>
        <v>-0.254858726339548</v>
      </c>
      <c r="K21" s="12" t="n">
        <v>0</v>
      </c>
      <c r="L21" s="18" t="n">
        <f aca="false">H21/$O$12</f>
        <v>0.00927441909367125</v>
      </c>
    </row>
    <row r="22" customFormat="false" ht="15" hidden="false" customHeight="false" outlineLevel="0" collapsed="false">
      <c r="A22" s="4" t="s">
        <v>144</v>
      </c>
      <c r="B22" s="4" t="s">
        <v>145</v>
      </c>
      <c r="C22" s="4" t="s">
        <v>73</v>
      </c>
      <c r="D22" s="4" t="s">
        <v>81</v>
      </c>
      <c r="E22" s="16" t="n">
        <v>10</v>
      </c>
      <c r="F22" s="17" t="n">
        <v>18.92</v>
      </c>
      <c r="G22" s="12" t="n">
        <v>321.5</v>
      </c>
      <c r="H22" s="12" t="n">
        <v>189.2</v>
      </c>
      <c r="I22" s="12" t="n">
        <v>-132.3</v>
      </c>
      <c r="J22" s="18" t="n">
        <f aca="false">IF(G22=0,0,I22/G22)</f>
        <v>-0.411508553654743</v>
      </c>
      <c r="K22" s="12" t="n">
        <v>0</v>
      </c>
      <c r="L22" s="18" t="n">
        <f aca="false">H22/$O$12</f>
        <v>0.00175417629787026</v>
      </c>
    </row>
    <row r="23" customFormat="false" ht="15" hidden="false" customHeight="false" outlineLevel="0" collapsed="false">
      <c r="A23" s="4" t="s">
        <v>280</v>
      </c>
      <c r="B23" s="4" t="s">
        <v>281</v>
      </c>
      <c r="C23" s="4" t="s">
        <v>148</v>
      </c>
      <c r="D23" s="4" t="s">
        <v>152</v>
      </c>
      <c r="E23" s="16" t="n">
        <v>50</v>
      </c>
      <c r="F23" s="17" t="n">
        <v>51.865</v>
      </c>
      <c r="G23" s="12" t="n">
        <v>2046.97</v>
      </c>
      <c r="H23" s="12" t="n">
        <v>2593.25</v>
      </c>
      <c r="I23" s="12" t="n">
        <v>546.28</v>
      </c>
      <c r="J23" s="18" t="n">
        <f aca="false">IF(G23=0,0,I23/G23)</f>
        <v>0.266872499352702</v>
      </c>
      <c r="K23" s="12" t="n">
        <v>361.85</v>
      </c>
      <c r="L23" s="18" t="n">
        <f aca="false">H23/$O$12</f>
        <v>0.0240434338501694</v>
      </c>
    </row>
    <row r="24" customFormat="false" ht="15" hidden="false" customHeight="false" outlineLevel="0" collapsed="false">
      <c r="A24" s="4" t="s">
        <v>150</v>
      </c>
      <c r="B24" s="4" t="s">
        <v>151</v>
      </c>
      <c r="C24" s="4" t="s">
        <v>148</v>
      </c>
      <c r="D24" s="4" t="s">
        <v>152</v>
      </c>
      <c r="E24" s="16" t="n">
        <v>25</v>
      </c>
      <c r="F24" s="17" t="n">
        <v>53.65</v>
      </c>
      <c r="G24" s="12" t="n">
        <v>1072.3</v>
      </c>
      <c r="H24" s="12" t="n">
        <v>1341.25</v>
      </c>
      <c r="I24" s="12" t="n">
        <v>268.95</v>
      </c>
      <c r="J24" s="18" t="n">
        <f aca="false">IF(G24=0,0,I24/G24)</f>
        <v>0.25081600298424</v>
      </c>
      <c r="K24" s="12" t="n">
        <v>158.35</v>
      </c>
      <c r="L24" s="18" t="n">
        <f aca="false">H24/$O$12</f>
        <v>0.0124354596169053</v>
      </c>
    </row>
    <row r="25" customFormat="false" ht="15" hidden="false" customHeight="false" outlineLevel="0" collapsed="false">
      <c r="A25" s="4" t="s">
        <v>153</v>
      </c>
      <c r="B25" s="4" t="s">
        <v>154</v>
      </c>
      <c r="C25" s="4" t="s">
        <v>148</v>
      </c>
      <c r="D25" s="4" t="s">
        <v>149</v>
      </c>
      <c r="E25" s="16" t="n">
        <v>100</v>
      </c>
      <c r="F25" s="17" t="n">
        <v>34.89</v>
      </c>
      <c r="G25" s="12" t="n">
        <v>2795.99</v>
      </c>
      <c r="H25" s="12" t="n">
        <v>3489</v>
      </c>
      <c r="I25" s="12" t="n">
        <v>693.01</v>
      </c>
      <c r="J25" s="18" t="n">
        <f aca="false">IF(G25=0,0,I25/G25)</f>
        <v>0.247858540266596</v>
      </c>
      <c r="K25" s="12" t="n">
        <v>104.8</v>
      </c>
      <c r="L25" s="18" t="n">
        <f aca="false">H25/$O$12</f>
        <v>0.0323484202075547</v>
      </c>
    </row>
    <row r="26" customFormat="false" ht="15" hidden="false" customHeight="false" outlineLevel="0" collapsed="false">
      <c r="A26" s="4" t="s">
        <v>155</v>
      </c>
      <c r="B26" s="4" t="s">
        <v>156</v>
      </c>
      <c r="C26" s="4" t="s">
        <v>148</v>
      </c>
      <c r="D26" s="4" t="s">
        <v>149</v>
      </c>
      <c r="E26" s="16" t="n">
        <v>50</v>
      </c>
      <c r="F26" s="17" t="n">
        <v>120.89</v>
      </c>
      <c r="G26" s="12" t="n">
        <v>5227.68</v>
      </c>
      <c r="H26" s="12" t="n">
        <v>6044.5</v>
      </c>
      <c r="I26" s="12" t="n">
        <v>816.82</v>
      </c>
      <c r="J26" s="18" t="n">
        <f aca="false">IF(G26=0,0,I26/G26)</f>
        <v>0.156249043552781</v>
      </c>
      <c r="K26" s="12" t="n">
        <v>28.85</v>
      </c>
      <c r="L26" s="18" t="n">
        <f aca="false">H26/$O$12</f>
        <v>0.0560418532371924</v>
      </c>
    </row>
    <row r="27" customFormat="false" ht="15" hidden="false" customHeight="false" outlineLevel="0" collapsed="false">
      <c r="A27" s="4" t="s">
        <v>444</v>
      </c>
      <c r="B27" s="4" t="s">
        <v>445</v>
      </c>
      <c r="C27" s="4" t="s">
        <v>148</v>
      </c>
      <c r="D27" s="4" t="s">
        <v>149</v>
      </c>
      <c r="E27" s="16" t="n">
        <v>4</v>
      </c>
      <c r="F27" s="17" t="n">
        <v>704.89</v>
      </c>
      <c r="G27" s="12" t="n">
        <v>2077.76</v>
      </c>
      <c r="H27" s="12" t="n">
        <v>2819.56</v>
      </c>
      <c r="I27" s="12" t="n">
        <v>741.8</v>
      </c>
      <c r="J27" s="18" t="n">
        <f aca="false">IF(G27=0,0,I27/G27)</f>
        <v>0.357019097489604</v>
      </c>
      <c r="K27" s="12" t="n">
        <v>29.38</v>
      </c>
      <c r="L27" s="18" t="n">
        <f aca="false">H27/$O$12</f>
        <v>0.026141677179826</v>
      </c>
    </row>
    <row r="29" customFormat="false" ht="15" hidden="false" customHeight="false" outlineLevel="0" collapsed="false">
      <c r="B29" s="13" t="s">
        <v>446</v>
      </c>
      <c r="G29" s="20" t="n">
        <f aca="false">SUM(G8:G27)</f>
        <v>49295.15</v>
      </c>
      <c r="H29" s="20" t="n">
        <f aca="false">SUM(H8:H27)</f>
        <v>85775.69</v>
      </c>
      <c r="I29" s="20" t="n">
        <f aca="false">SUM(I8:I27)</f>
        <v>36480.53</v>
      </c>
      <c r="J29" s="30" t="n">
        <f aca="false">I29/G29</f>
        <v>0.740042985973265</v>
      </c>
      <c r="K29" s="20" t="n">
        <f aca="false">SUM(K8:K27)</f>
        <v>1103.87</v>
      </c>
      <c r="L29" s="30" t="n">
        <f aca="false">SUM(L8:L27)</f>
        <v>0.795273162428474</v>
      </c>
    </row>
    <row r="30" customFormat="false" ht="15" hidden="false" customHeight="false" outlineLevel="0" collapsed="false">
      <c r="B30" s="4" t="s">
        <v>447</v>
      </c>
      <c r="I30" s="18" t="n">
        <f aca="false">SUMPRODUCT(LARGE(H8:H27,{1,2,3,4,5,6,7,8,9,10}))/H29</f>
        <v>0.870183614961302</v>
      </c>
    </row>
    <row r="31" customFormat="false" ht="15" hidden="false" customHeight="false" outlineLevel="0" collapsed="false">
      <c r="B31" s="4" t="s">
        <v>16</v>
      </c>
      <c r="I31" s="22" t="n">
        <f aca="false">1/SUMPRODUCT((H8:H27/H29)^2)</f>
        <v>9.39607228212782</v>
      </c>
    </row>
    <row r="34" customFormat="false" ht="15" hidden="false" customHeight="false" outlineLevel="0" collapsed="false">
      <c r="A34" s="13" t="s">
        <v>198</v>
      </c>
    </row>
    <row r="35" customFormat="false" ht="15" hidden="false" customHeight="false" outlineLevel="0" collapsed="false">
      <c r="A35" s="29" t="s">
        <v>200</v>
      </c>
      <c r="B35" s="29" t="s">
        <v>201</v>
      </c>
      <c r="C35" s="29" t="s">
        <v>202</v>
      </c>
      <c r="D35" s="29" t="s">
        <v>56</v>
      </c>
      <c r="E35" s="29" t="s">
        <v>60</v>
      </c>
      <c r="F35" s="29" t="s">
        <v>61</v>
      </c>
      <c r="G35" s="29" t="s">
        <v>203</v>
      </c>
    </row>
    <row r="36" customFormat="false" ht="15" hidden="false" customHeight="false" outlineLevel="0" collapsed="false">
      <c r="A36" s="4" t="s">
        <v>448</v>
      </c>
      <c r="B36" s="4" t="s">
        <v>400</v>
      </c>
      <c r="C36" s="4" t="s">
        <v>401</v>
      </c>
      <c r="D36" s="4"/>
      <c r="G36" s="12" t="n">
        <v>100</v>
      </c>
    </row>
    <row r="37" customFormat="false" ht="15" hidden="false" customHeight="false" outlineLevel="0" collapsed="false">
      <c r="A37" s="4" t="s">
        <v>205</v>
      </c>
      <c r="B37" s="4" t="s">
        <v>400</v>
      </c>
      <c r="C37" s="4" t="s">
        <v>401</v>
      </c>
      <c r="D37" s="4"/>
      <c r="G37" s="12" t="n">
        <v>1000</v>
      </c>
    </row>
    <row r="38" customFormat="false" ht="15" hidden="false" customHeight="false" outlineLevel="0" collapsed="false">
      <c r="A38" s="4" t="s">
        <v>207</v>
      </c>
      <c r="B38" s="4" t="s">
        <v>208</v>
      </c>
      <c r="C38" s="4" t="s">
        <v>101</v>
      </c>
      <c r="D38" s="4" t="s">
        <v>100</v>
      </c>
      <c r="G38" s="12" t="n">
        <v>8.75</v>
      </c>
    </row>
    <row r="39" customFormat="false" ht="15" hidden="false" customHeight="false" outlineLevel="0" collapsed="false">
      <c r="A39" s="4" t="s">
        <v>209</v>
      </c>
      <c r="B39" s="4" t="s">
        <v>208</v>
      </c>
      <c r="C39" s="4" t="s">
        <v>160</v>
      </c>
      <c r="D39" s="4" t="s">
        <v>159</v>
      </c>
      <c r="G39" s="12" t="n">
        <v>44.44</v>
      </c>
    </row>
    <row r="40" customFormat="false" ht="15" hidden="false" customHeight="false" outlineLevel="0" collapsed="false">
      <c r="A40" s="4" t="s">
        <v>449</v>
      </c>
      <c r="B40" s="4" t="s">
        <v>208</v>
      </c>
      <c r="C40" s="4" t="s">
        <v>428</v>
      </c>
      <c r="D40" s="4" t="s">
        <v>427</v>
      </c>
      <c r="G40" s="12" t="n">
        <v>8.1</v>
      </c>
    </row>
    <row r="41" customFormat="false" ht="15" hidden="false" customHeight="false" outlineLevel="0" collapsed="false">
      <c r="A41" s="4" t="s">
        <v>210</v>
      </c>
      <c r="B41" s="4" t="s">
        <v>208</v>
      </c>
      <c r="C41" s="4" t="s">
        <v>160</v>
      </c>
      <c r="D41" s="4" t="s">
        <v>159</v>
      </c>
      <c r="G41" s="12" t="n">
        <v>45.45</v>
      </c>
    </row>
    <row r="42" customFormat="false" ht="15" hidden="false" customHeight="false" outlineLevel="0" collapsed="false">
      <c r="A42" s="4" t="s">
        <v>211</v>
      </c>
      <c r="B42" s="4" t="s">
        <v>212</v>
      </c>
      <c r="C42" s="4" t="s">
        <v>213</v>
      </c>
      <c r="D42" s="4" t="s">
        <v>214</v>
      </c>
      <c r="E42" s="16" t="n">
        <v>40</v>
      </c>
      <c r="F42" s="25" t="n">
        <v>340.74</v>
      </c>
      <c r="G42" s="12" t="n">
        <v>13629.3</v>
      </c>
    </row>
    <row r="43" customFormat="false" ht="15" hidden="false" customHeight="false" outlineLevel="0" collapsed="false">
      <c r="A43" s="4" t="s">
        <v>211</v>
      </c>
      <c r="B43" s="4" t="s">
        <v>212</v>
      </c>
      <c r="C43" s="4" t="s">
        <v>160</v>
      </c>
      <c r="D43" s="4" t="s">
        <v>159</v>
      </c>
      <c r="E43" s="16" t="n">
        <v>460</v>
      </c>
      <c r="F43" s="25" t="n">
        <v>13.15</v>
      </c>
      <c r="G43" s="12" t="n">
        <v>6048.78</v>
      </c>
    </row>
    <row r="44" customFormat="false" ht="15" hidden="false" customHeight="false" outlineLevel="0" collapsed="false">
      <c r="A44" s="4" t="s">
        <v>211</v>
      </c>
      <c r="B44" s="4" t="s">
        <v>212</v>
      </c>
      <c r="C44" s="4" t="s">
        <v>101</v>
      </c>
      <c r="D44" s="4" t="s">
        <v>100</v>
      </c>
      <c r="E44" s="16" t="n">
        <v>7</v>
      </c>
      <c r="F44" s="25" t="n">
        <v>215.7</v>
      </c>
      <c r="G44" s="12" t="n">
        <v>1509.86</v>
      </c>
    </row>
    <row r="45" customFormat="false" ht="15" hidden="false" customHeight="false" outlineLevel="0" collapsed="false">
      <c r="A45" s="4" t="s">
        <v>211</v>
      </c>
      <c r="B45" s="4" t="s">
        <v>212</v>
      </c>
      <c r="C45" s="4" t="s">
        <v>450</v>
      </c>
      <c r="D45" s="4" t="s">
        <v>451</v>
      </c>
      <c r="E45" s="16" t="n">
        <v>170</v>
      </c>
      <c r="F45" s="25" t="n">
        <v>3.06</v>
      </c>
      <c r="G45" s="12" t="n">
        <v>520.15</v>
      </c>
    </row>
    <row r="46" customFormat="false" ht="15" hidden="false" customHeight="false" outlineLevel="0" collapsed="false">
      <c r="A46" s="4" t="s">
        <v>211</v>
      </c>
      <c r="B46" s="4" t="s">
        <v>206</v>
      </c>
      <c r="C46" s="4" t="s">
        <v>438</v>
      </c>
      <c r="D46" s="4" t="s">
        <v>437</v>
      </c>
      <c r="E46" s="16" t="n">
        <v>10</v>
      </c>
      <c r="F46" s="25" t="n">
        <v>140</v>
      </c>
      <c r="G46" s="12" t="n">
        <v>-1400</v>
      </c>
    </row>
    <row r="47" customFormat="false" ht="15" hidden="false" customHeight="false" outlineLevel="0" collapsed="false">
      <c r="A47" s="4" t="s">
        <v>211</v>
      </c>
      <c r="B47" s="4" t="s">
        <v>206</v>
      </c>
      <c r="C47" s="4" t="s">
        <v>77</v>
      </c>
      <c r="D47" s="4" t="s">
        <v>76</v>
      </c>
      <c r="E47" s="16" t="n">
        <v>4</v>
      </c>
      <c r="F47" s="25" t="n">
        <v>265.16</v>
      </c>
      <c r="G47" s="12" t="n">
        <v>-1060.64</v>
      </c>
    </row>
    <row r="48" customFormat="false" ht="15" hidden="false" customHeight="false" outlineLevel="0" collapsed="false">
      <c r="A48" s="4" t="s">
        <v>211</v>
      </c>
      <c r="B48" s="4" t="s">
        <v>206</v>
      </c>
      <c r="C48" s="4" t="s">
        <v>430</v>
      </c>
      <c r="D48" s="4" t="s">
        <v>429</v>
      </c>
      <c r="E48" s="16" t="n">
        <v>10</v>
      </c>
      <c r="F48" s="25" t="n">
        <v>103.96</v>
      </c>
      <c r="G48" s="12" t="n">
        <v>-1039.6</v>
      </c>
    </row>
    <row r="49" customFormat="false" ht="15" hidden="false" customHeight="false" outlineLevel="0" collapsed="false">
      <c r="A49" s="4" t="s">
        <v>222</v>
      </c>
      <c r="B49" s="4" t="s">
        <v>208</v>
      </c>
      <c r="C49" s="4" t="s">
        <v>281</v>
      </c>
      <c r="D49" s="4" t="s">
        <v>280</v>
      </c>
      <c r="G49" s="12" t="n">
        <v>31.87</v>
      </c>
    </row>
    <row r="50" customFormat="false" ht="15" hidden="false" customHeight="false" outlineLevel="0" collapsed="false">
      <c r="A50" s="4" t="s">
        <v>222</v>
      </c>
      <c r="B50" s="4" t="s">
        <v>208</v>
      </c>
      <c r="C50" s="4" t="s">
        <v>151</v>
      </c>
      <c r="D50" s="4" t="s">
        <v>150</v>
      </c>
      <c r="G50" s="12" t="n">
        <v>13.56</v>
      </c>
    </row>
    <row r="51" customFormat="false" ht="15" hidden="false" customHeight="false" outlineLevel="0" collapsed="false">
      <c r="A51" s="4" t="s">
        <v>452</v>
      </c>
      <c r="B51" s="4" t="s">
        <v>400</v>
      </c>
      <c r="C51" s="4" t="s">
        <v>401</v>
      </c>
      <c r="D51" s="4"/>
      <c r="G51" s="12" t="n">
        <v>250</v>
      </c>
    </row>
    <row r="52" customFormat="false" ht="15" hidden="false" customHeight="false" outlineLevel="0" collapsed="false">
      <c r="A52" s="4" t="s">
        <v>224</v>
      </c>
      <c r="B52" s="4" t="s">
        <v>225</v>
      </c>
      <c r="C52" s="4" t="s">
        <v>453</v>
      </c>
      <c r="D52" s="4"/>
      <c r="G52" s="12" t="n">
        <v>0.1</v>
      </c>
    </row>
    <row r="53" customFormat="false" ht="15" hidden="false" customHeight="false" outlineLevel="0" collapsed="false">
      <c r="C53" s="13" t="s">
        <v>454</v>
      </c>
      <c r="G53" s="19" t="n">
        <f aca="false">SUM(G36:G52)</f>
        <v>19710.12</v>
      </c>
    </row>
    <row r="55" customFormat="false" ht="15" hidden="false" customHeight="false" outlineLevel="0" collapsed="false">
      <c r="A55" s="13" t="s">
        <v>455</v>
      </c>
    </row>
    <row r="56" customFormat="false" ht="26.85" hidden="false" customHeight="false" outlineLevel="0" collapsed="false">
      <c r="A56" s="29" t="s">
        <v>181</v>
      </c>
      <c r="B56" s="29" t="s">
        <v>456</v>
      </c>
      <c r="C56" s="29" t="s">
        <v>183</v>
      </c>
    </row>
    <row r="57" customFormat="false" ht="15" hidden="false" customHeight="false" outlineLevel="0" collapsed="false">
      <c r="A57" s="4" t="s">
        <v>184</v>
      </c>
      <c r="B57" s="23" t="n">
        <v>0.064</v>
      </c>
      <c r="C57" s="31" t="n">
        <f aca="false">C58/(1+B58)</f>
        <v>81243.3077796244</v>
      </c>
    </row>
    <row r="58" customFormat="false" ht="15" hidden="false" customHeight="false" outlineLevel="0" collapsed="false">
      <c r="A58" s="4" t="s">
        <v>185</v>
      </c>
      <c r="B58" s="23" t="n">
        <v>0.125</v>
      </c>
      <c r="C58" s="31" t="n">
        <f aca="false">C59/(1+B59)</f>
        <v>91398.7212520774</v>
      </c>
    </row>
    <row r="59" customFormat="false" ht="15" hidden="false" customHeight="false" outlineLevel="0" collapsed="false">
      <c r="A59" s="4" t="s">
        <v>186</v>
      </c>
      <c r="B59" s="23" t="n">
        <v>0.092</v>
      </c>
      <c r="C59" s="31" t="n">
        <f aca="false">C60/(1+B60)</f>
        <v>99807.4036072685</v>
      </c>
    </row>
    <row r="60" customFormat="false" ht="15" hidden="false" customHeight="false" outlineLevel="0" collapsed="false">
      <c r="A60" s="4" t="s">
        <v>187</v>
      </c>
      <c r="B60" s="23" t="n">
        <v>0</v>
      </c>
      <c r="C60" s="31" t="n">
        <f aca="false">C61/(1+B61)</f>
        <v>99807.4036072685</v>
      </c>
    </row>
    <row r="61" customFormat="false" ht="15" hidden="false" customHeight="false" outlineLevel="0" collapsed="false">
      <c r="A61" s="4" t="s">
        <v>188</v>
      </c>
      <c r="B61" s="23" t="n">
        <v>-0.025</v>
      </c>
      <c r="C61" s="31" t="n">
        <f aca="false">C62/(1+B62)</f>
        <v>97312.2185170868</v>
      </c>
    </row>
    <row r="62" customFormat="false" ht="15" hidden="false" customHeight="false" outlineLevel="0" collapsed="false">
      <c r="A62" s="4" t="s">
        <v>189</v>
      </c>
      <c r="B62" s="23" t="n">
        <v>-0.019</v>
      </c>
      <c r="C62" s="31" t="n">
        <f aca="false">C63/(1+B63)</f>
        <v>95463.2863652622</v>
      </c>
    </row>
    <row r="63" customFormat="false" ht="15" hidden="false" customHeight="false" outlineLevel="0" collapsed="false">
      <c r="A63" s="4" t="s">
        <v>190</v>
      </c>
      <c r="B63" s="23" t="n">
        <v>-0.028</v>
      </c>
      <c r="C63" s="31" t="n">
        <f aca="false">C64/(1+B64)</f>
        <v>92790.3143470348</v>
      </c>
    </row>
    <row r="64" customFormat="false" ht="15" hidden="false" customHeight="false" outlineLevel="0" collapsed="false">
      <c r="A64" s="4" t="s">
        <v>191</v>
      </c>
      <c r="B64" s="23" t="n">
        <v>-0.05</v>
      </c>
      <c r="C64" s="31" t="n">
        <f aca="false">C65/(1+B65)</f>
        <v>88150.7986296831</v>
      </c>
    </row>
    <row r="65" customFormat="false" ht="15" hidden="false" customHeight="false" outlineLevel="0" collapsed="false">
      <c r="A65" s="4" t="s">
        <v>192</v>
      </c>
      <c r="B65" s="23" t="n">
        <v>0.108</v>
      </c>
      <c r="C65" s="31" t="n">
        <f aca="false">C66/(1+B66)</f>
        <v>97671.0848816889</v>
      </c>
    </row>
    <row r="66" customFormat="false" ht="15" hidden="false" customHeight="false" outlineLevel="0" collapsed="false">
      <c r="A66" s="4" t="s">
        <v>193</v>
      </c>
      <c r="B66" s="23" t="n">
        <v>0.114</v>
      </c>
      <c r="C66" s="31" t="n">
        <f aca="false">C67/(1+B67)</f>
        <v>108805.588558201</v>
      </c>
    </row>
    <row r="67" customFormat="false" ht="15" hidden="false" customHeight="false" outlineLevel="0" collapsed="false">
      <c r="A67" s="4" t="s">
        <v>194</v>
      </c>
      <c r="B67" s="23" t="n">
        <v>-0.068</v>
      </c>
      <c r="C67" s="31" t="n">
        <f aca="false">C68/(1+B68)</f>
        <v>101406.808536244</v>
      </c>
    </row>
    <row r="68" customFormat="false" ht="15" hidden="false" customHeight="false" outlineLevel="0" collapsed="false">
      <c r="A68" s="4" t="s">
        <v>195</v>
      </c>
      <c r="B68" s="23" t="n">
        <v>-0.017</v>
      </c>
      <c r="C68" s="31" t="n">
        <f aca="false">C69/(1+B69)</f>
        <v>99682.8927911275</v>
      </c>
    </row>
    <row r="69" customFormat="false" ht="15" hidden="false" customHeight="false" outlineLevel="0" collapsed="false">
      <c r="A69" s="4" t="s">
        <v>196</v>
      </c>
      <c r="B69" s="23" t="n">
        <v>0.082</v>
      </c>
      <c r="C69" s="31" t="n">
        <f aca="false">P12</f>
        <v>107856.89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457</v>
      </c>
    </row>
    <row r="2" customFormat="false" ht="15" hidden="false" customHeight="false" outlineLevel="0" collapsed="false">
      <c r="A2" s="7" t="s">
        <v>458</v>
      </c>
    </row>
    <row r="4" customFormat="false" ht="15" hidden="false" customHeight="false" outlineLevel="0" collapsed="false">
      <c r="A4" s="29" t="s">
        <v>459</v>
      </c>
      <c r="B4" s="29" t="s">
        <v>460</v>
      </c>
      <c r="C4" s="29" t="s">
        <v>461</v>
      </c>
      <c r="D4" s="29" t="s">
        <v>462</v>
      </c>
      <c r="E4" s="29" t="s">
        <v>463</v>
      </c>
      <c r="F4" s="29" t="s">
        <v>464</v>
      </c>
      <c r="G4" s="29" t="s">
        <v>465</v>
      </c>
    </row>
    <row r="5" customFormat="false" ht="15" hidden="false" customHeight="false" outlineLevel="0" collapsed="false">
      <c r="A5" s="4" t="s">
        <v>466</v>
      </c>
      <c r="B5" s="4" t="s">
        <v>467</v>
      </c>
      <c r="C5" s="4" t="s">
        <v>468</v>
      </c>
      <c r="D5" s="12" t="n">
        <v>164712.49</v>
      </c>
      <c r="E5" s="4" t="s">
        <v>469</v>
      </c>
      <c r="F5" s="32" t="n">
        <v>0</v>
      </c>
      <c r="G5" s="7" t="s">
        <v>470</v>
      </c>
    </row>
    <row r="6" customFormat="false" ht="15" hidden="false" customHeight="false" outlineLevel="0" collapsed="false">
      <c r="A6" s="4" t="s">
        <v>471</v>
      </c>
      <c r="B6" s="4" t="s">
        <v>472</v>
      </c>
      <c r="C6" s="4" t="s">
        <v>468</v>
      </c>
      <c r="D6" s="12" t="n">
        <v>51850.33</v>
      </c>
      <c r="E6" s="4" t="s">
        <v>473</v>
      </c>
      <c r="F6" s="32" t="n">
        <v>0.0334</v>
      </c>
      <c r="G6" s="7" t="s">
        <v>474</v>
      </c>
    </row>
    <row r="7" customFormat="false" ht="15" hidden="false" customHeight="false" outlineLevel="0" collapsed="false">
      <c r="A7" s="4" t="s">
        <v>475</v>
      </c>
      <c r="B7" s="4" t="s">
        <v>476</v>
      </c>
      <c r="C7" s="4" t="s">
        <v>477</v>
      </c>
      <c r="D7" s="12" t="n">
        <v>35321.05</v>
      </c>
      <c r="E7" s="4" t="s">
        <v>478</v>
      </c>
      <c r="F7" s="32" t="n">
        <v>0.0356</v>
      </c>
      <c r="G7" s="7" t="s">
        <v>479</v>
      </c>
    </row>
    <row r="8" customFormat="false" ht="15" hidden="false" customHeight="false" outlineLevel="0" collapsed="false">
      <c r="A8" s="4" t="s">
        <v>480</v>
      </c>
      <c r="B8" s="4" t="s">
        <v>481</v>
      </c>
      <c r="C8" s="4" t="s">
        <v>477</v>
      </c>
      <c r="D8" s="12" t="n">
        <v>20065.22</v>
      </c>
      <c r="E8" s="4" t="s">
        <v>478</v>
      </c>
      <c r="F8" s="32" t="n">
        <v>0.0356</v>
      </c>
      <c r="G8" s="7" t="s">
        <v>482</v>
      </c>
    </row>
    <row r="9" customFormat="false" ht="15" hidden="false" customHeight="false" outlineLevel="0" collapsed="false">
      <c r="A9" s="4" t="s">
        <v>483</v>
      </c>
      <c r="B9" s="4" t="s">
        <v>21</v>
      </c>
      <c r="C9" s="4" t="s">
        <v>484</v>
      </c>
      <c r="D9" s="12" t="n">
        <v>16443.72</v>
      </c>
      <c r="E9" s="4" t="s">
        <v>478</v>
      </c>
      <c r="F9" s="32" t="n">
        <v>0.0001</v>
      </c>
      <c r="G9" s="7" t="s">
        <v>485</v>
      </c>
    </row>
    <row r="10" customFormat="false" ht="15" hidden="false" customHeight="false" outlineLevel="0" collapsed="false">
      <c r="A10" s="4" t="s">
        <v>486</v>
      </c>
      <c r="B10" s="4" t="s">
        <v>487</v>
      </c>
      <c r="C10" s="4" t="s">
        <v>484</v>
      </c>
      <c r="D10" s="12" t="n">
        <v>22081.2</v>
      </c>
      <c r="E10" s="4" t="s">
        <v>478</v>
      </c>
      <c r="F10" s="32" t="n">
        <v>0.0001</v>
      </c>
      <c r="G10" s="7" t="s">
        <v>488</v>
      </c>
    </row>
    <row r="11" customFormat="false" ht="15" hidden="false" customHeight="false" outlineLevel="0" collapsed="false">
      <c r="A11" s="13" t="s">
        <v>489</v>
      </c>
      <c r="D11" s="19" t="n">
        <f aca="false">SUM(D5:D10)</f>
        <v>310474.01</v>
      </c>
      <c r="F11" s="33" t="n">
        <f aca="false">SUMPRODUCT(D5:D10,F5:F10)/D11</f>
        <v>0.0119411113542161</v>
      </c>
      <c r="G11" s="7" t="s">
        <v>490</v>
      </c>
    </row>
    <row r="12" customFormat="false" ht="15" hidden="false" customHeight="false" outlineLevel="0" collapsed="false">
      <c r="A12" s="4" t="s">
        <v>491</v>
      </c>
      <c r="D12" s="6" t="n">
        <f aca="false">SUMPRODUCT(D5:D10,F5:F10)</f>
        <v>3707.404726</v>
      </c>
    </row>
    <row r="14" customFormat="false" ht="15" hidden="false" customHeight="false" outlineLevel="0" collapsed="false">
      <c r="A14" s="13" t="s">
        <v>492</v>
      </c>
    </row>
    <row r="15" customFormat="false" ht="15" hidden="false" customHeight="false" outlineLevel="0" collapsed="false">
      <c r="A15" s="4" t="s">
        <v>493</v>
      </c>
      <c r="D15" s="34" t="n">
        <v>0.0352</v>
      </c>
    </row>
    <row r="16" customFormat="false" ht="15" hidden="false" customHeight="false" outlineLevel="0" collapsed="false">
      <c r="A16" s="4" t="s">
        <v>494</v>
      </c>
      <c r="D16" s="34" t="n">
        <v>0.045</v>
      </c>
    </row>
    <row r="17" customFormat="false" ht="15" hidden="false" customHeight="false" outlineLevel="0" collapsed="false">
      <c r="A17" s="4" t="s">
        <v>495</v>
      </c>
      <c r="D17" s="35" t="n">
        <v>3</v>
      </c>
    </row>
    <row r="18" customFormat="false" ht="15" hidden="false" customHeight="false" outlineLevel="0" collapsed="false">
      <c r="A18" s="4" t="s">
        <v>496</v>
      </c>
      <c r="D18" s="36" t="n">
        <v>21173.97</v>
      </c>
    </row>
    <row r="19" customFormat="false" ht="15" hidden="false" customHeight="false" outlineLevel="0" collapsed="false">
      <c r="A19" s="4" t="s">
        <v>497</v>
      </c>
      <c r="D19" s="36" t="n">
        <v>32208.6</v>
      </c>
    </row>
    <row r="20" customFormat="false" ht="15" hidden="false" customHeight="false" outlineLevel="0" collapsed="false">
      <c r="A20" s="4" t="s">
        <v>498</v>
      </c>
      <c r="D20" s="35" t="n">
        <v>35</v>
      </c>
    </row>
    <row r="22" customFormat="false" ht="15" hidden="false" customHeight="false" outlineLevel="0" collapsed="false">
      <c r="A22" s="13" t="s">
        <v>499</v>
      </c>
    </row>
    <row r="23" customFormat="false" ht="15" hidden="false" customHeight="false" outlineLevel="0" collapsed="false">
      <c r="A23" s="4" t="s">
        <v>500</v>
      </c>
      <c r="D23" s="6" t="n">
        <f aca="false">D18/D20*30</f>
        <v>18149.1171428571</v>
      </c>
    </row>
    <row r="24" customFormat="false" ht="15" hidden="false" customHeight="false" outlineLevel="0" collapsed="false">
      <c r="A24" s="4" t="s">
        <v>501</v>
      </c>
      <c r="D24" s="6" t="n">
        <f aca="false">D19/D20*30</f>
        <v>27607.3714285714</v>
      </c>
    </row>
    <row r="25" customFormat="false" ht="15" hidden="false" customHeight="false" outlineLevel="0" collapsed="false">
      <c r="A25" s="4" t="s">
        <v>502</v>
      </c>
      <c r="D25" s="6" t="n">
        <f aca="false">D23*D17</f>
        <v>54447.3514285714</v>
      </c>
    </row>
    <row r="26" customFormat="false" ht="15" hidden="false" customHeight="false" outlineLevel="0" collapsed="false">
      <c r="A26" s="4" t="s">
        <v>503</v>
      </c>
      <c r="D26" s="6" t="n">
        <f aca="false">D5-D25</f>
        <v>110265.138571429</v>
      </c>
    </row>
    <row r="27" customFormat="false" ht="15" hidden="false" customHeight="false" outlineLevel="0" collapsed="false">
      <c r="A27" s="4" t="s">
        <v>504</v>
      </c>
      <c r="D27" s="6" t="n">
        <f aca="false">D5+D9+D10</f>
        <v>203237.41</v>
      </c>
    </row>
    <row r="28" customFormat="false" ht="15" hidden="false" customHeight="false" outlineLevel="0" collapsed="false">
      <c r="A28" s="4" t="s">
        <v>505</v>
      </c>
      <c r="D28" s="6" t="n">
        <f aca="false">D27*D15</f>
        <v>7153.956832</v>
      </c>
    </row>
    <row r="29" customFormat="false" ht="15" hidden="false" customHeight="false" outlineLevel="0" collapsed="false">
      <c r="A29" s="4" t="s">
        <v>506</v>
      </c>
      <c r="D29" s="6" t="n">
        <f aca="false">-Robinhood!O14</f>
        <v>216910.5</v>
      </c>
    </row>
    <row r="30" customFormat="false" ht="15" hidden="false" customHeight="false" outlineLevel="0" collapsed="false">
      <c r="A30" s="4" t="s">
        <v>507</v>
      </c>
      <c r="D30" s="6" t="n">
        <f aca="false">D26+D7</f>
        <v>145586.188571429</v>
      </c>
    </row>
    <row r="31" customFormat="false" ht="15" hidden="false" customHeight="false" outlineLevel="0" collapsed="false">
      <c r="A31" s="4" t="s">
        <v>508</v>
      </c>
      <c r="D31" s="6" t="n">
        <f aca="false">D6</f>
        <v>51850.33</v>
      </c>
    </row>
    <row r="32" customFormat="false" ht="15" hidden="false" customHeight="false" outlineLevel="0" collapsed="false">
      <c r="A32" s="4" t="s">
        <v>509</v>
      </c>
      <c r="D32" s="6" t="n">
        <f aca="false">D29-D30-D31</f>
        <v>19473.9814285714</v>
      </c>
    </row>
    <row r="33" customFormat="false" ht="15" hidden="false" customHeight="false" outlineLevel="0" collapsed="false">
      <c r="A33" s="4" t="s">
        <v>510</v>
      </c>
      <c r="D33" s="6" t="n">
        <f aca="false">(D30+D31)*D16</f>
        <v>8884.64333571429</v>
      </c>
    </row>
    <row r="34" customFormat="false" ht="15" hidden="false" customHeight="false" outlineLevel="0" collapsed="false">
      <c r="A34" s="4" t="s">
        <v>511</v>
      </c>
      <c r="D34" s="18" t="n">
        <f aca="false">1-(D29-D30)/(Robinhood!O12*0.7)</f>
        <v>0.767085166239505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512</v>
      </c>
    </row>
    <row r="3" customFormat="false" ht="15" hidden="false" customHeight="false" outlineLevel="0" collapsed="false">
      <c r="A3" s="29" t="s">
        <v>513</v>
      </c>
      <c r="B3" s="29" t="s">
        <v>460</v>
      </c>
      <c r="C3" s="29" t="s">
        <v>514</v>
      </c>
      <c r="D3" s="29" t="s">
        <v>462</v>
      </c>
      <c r="E3" s="29" t="s">
        <v>515</v>
      </c>
    </row>
    <row r="4" customFormat="false" ht="15" hidden="false" customHeight="false" outlineLevel="0" collapsed="false">
      <c r="A4" s="4" t="s">
        <v>516</v>
      </c>
      <c r="B4" s="4" t="s">
        <v>517</v>
      </c>
      <c r="C4" s="4" t="s">
        <v>518</v>
      </c>
      <c r="D4" s="5" t="n">
        <f aca="false">Robinhood!O10</f>
        <v>220553.58</v>
      </c>
      <c r="E4" s="7" t="s">
        <v>519</v>
      </c>
    </row>
    <row r="5" customFormat="false" ht="15" hidden="false" customHeight="false" outlineLevel="0" collapsed="false">
      <c r="A5" s="4" t="s">
        <v>520</v>
      </c>
      <c r="B5" s="4" t="s">
        <v>521</v>
      </c>
      <c r="C5" s="4" t="s">
        <v>518</v>
      </c>
      <c r="D5" s="5" t="n">
        <f aca="false">'Cash &amp; banking'!D7</f>
        <v>35321.05</v>
      </c>
      <c r="E5" s="7" t="s">
        <v>522</v>
      </c>
    </row>
    <row r="6" customFormat="false" ht="15" hidden="false" customHeight="false" outlineLevel="0" collapsed="false">
      <c r="A6" s="4" t="s">
        <v>523</v>
      </c>
      <c r="B6" s="4" t="s">
        <v>524</v>
      </c>
      <c r="C6" s="4" t="s">
        <v>518</v>
      </c>
      <c r="D6" s="5" t="n">
        <f aca="false">'Cash &amp; banking'!D6</f>
        <v>51850.33</v>
      </c>
      <c r="E6" s="7" t="s">
        <v>525</v>
      </c>
    </row>
    <row r="7" customFormat="false" ht="15" hidden="false" customHeight="false" outlineLevel="0" collapsed="false">
      <c r="A7" s="4" t="s">
        <v>526</v>
      </c>
      <c r="B7" s="4" t="s">
        <v>524</v>
      </c>
      <c r="C7" s="4" t="s">
        <v>518</v>
      </c>
      <c r="D7" s="5" t="n">
        <f aca="false">'Cash &amp; banking'!D26</f>
        <v>110265.138571429</v>
      </c>
      <c r="E7" s="7" t="s">
        <v>527</v>
      </c>
    </row>
    <row r="8" customFormat="false" ht="15" hidden="false" customHeight="false" outlineLevel="0" collapsed="false">
      <c r="A8" s="4" t="s">
        <v>528</v>
      </c>
      <c r="B8" s="4" t="s">
        <v>524</v>
      </c>
      <c r="C8" s="4" t="s">
        <v>529</v>
      </c>
      <c r="D8" s="5" t="n">
        <f aca="false">'Cash &amp; banking'!D25</f>
        <v>54447.3514285714</v>
      </c>
      <c r="E8" s="7" t="s">
        <v>530</v>
      </c>
    </row>
    <row r="9" customFormat="false" ht="15" hidden="false" customHeight="false" outlineLevel="0" collapsed="false">
      <c r="A9" s="4" t="s">
        <v>531</v>
      </c>
      <c r="B9" s="4" t="s">
        <v>521</v>
      </c>
      <c r="C9" s="4" t="s">
        <v>532</v>
      </c>
      <c r="D9" s="5" t="n">
        <f aca="false">'SEP IRA'!B53</f>
        <v>254650.28</v>
      </c>
      <c r="E9" s="7" t="s">
        <v>533</v>
      </c>
    </row>
    <row r="10" customFormat="false" ht="15" hidden="false" customHeight="false" outlineLevel="0" collapsed="false">
      <c r="A10" s="4" t="s">
        <v>534</v>
      </c>
      <c r="B10" s="4" t="s">
        <v>535</v>
      </c>
      <c r="C10" s="4" t="s">
        <v>536</v>
      </c>
      <c r="D10" s="5" t="n">
        <f aca="false">'Luke UTMA'!P12</f>
        <v>107856.89</v>
      </c>
      <c r="E10" s="7" t="s">
        <v>537</v>
      </c>
    </row>
    <row r="11" customFormat="false" ht="15" hidden="false" customHeight="false" outlineLevel="0" collapsed="false">
      <c r="A11" s="4" t="s">
        <v>538</v>
      </c>
      <c r="B11" s="4" t="s">
        <v>539</v>
      </c>
      <c r="C11" s="4" t="s">
        <v>540</v>
      </c>
      <c r="D11" s="5" t="n">
        <f aca="false">'Cash &amp; banking'!D8</f>
        <v>20065.22</v>
      </c>
      <c r="E11" s="7" t="s">
        <v>541</v>
      </c>
    </row>
    <row r="13" customFormat="false" ht="15" hidden="false" customHeight="false" outlineLevel="0" collapsed="false">
      <c r="A13" s="13" t="s">
        <v>542</v>
      </c>
    </row>
    <row r="14" customFormat="false" ht="15" hidden="false" customHeight="false" outlineLevel="0" collapsed="false">
      <c r="A14" s="4" t="s">
        <v>518</v>
      </c>
      <c r="D14" s="6" t="n">
        <f aca="false">SUMIF(C4:C11,"A · Schwab trust brokerage*",D4:D11)</f>
        <v>417990.098571429</v>
      </c>
    </row>
    <row r="15" customFormat="false" ht="15" hidden="false" customHeight="false" outlineLevel="0" collapsed="false">
      <c r="A15" s="4" t="s">
        <v>532</v>
      </c>
      <c r="D15" s="6" t="n">
        <f aca="false">SUMIF(C4:C11,"B · Schwab SEP IRA*",D4:D11)</f>
        <v>254650.28</v>
      </c>
    </row>
    <row r="16" customFormat="false" ht="15" hidden="false" customHeight="false" outlineLevel="0" collapsed="false">
      <c r="A16" s="4" t="s">
        <v>536</v>
      </c>
      <c r="D16" s="6" t="n">
        <f aca="false">SUMIF(C4:C11,"C · Schwab custodial UTMA/IN*",D4:D11)</f>
        <v>127922.11</v>
      </c>
    </row>
    <row r="17" customFormat="false" ht="15" hidden="false" customHeight="false" outlineLevel="0" collapsed="false">
      <c r="A17" s="4" t="s">
        <v>529</v>
      </c>
      <c r="D17" s="6" t="n">
        <f aca="false">SUMIF(C4:C11,"Stays at Centier*",D4:D11)</f>
        <v>54447.3514285714</v>
      </c>
    </row>
    <row r="19" customFormat="false" ht="15" hidden="false" customHeight="false" outlineLevel="0" collapsed="false">
      <c r="A19" s="7" t="s">
        <v>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2026-09-15T15:42:47Z</dcterms:created>
  <dc:creator>openpyxl</dc:creator>
  <dc:description/>
  <dc:language>en-US</dc:language>
  <cp:lastModifiedBy/>
  <dcterms:modified xsi:type="dcterms:W3CDTF">2026-09-15T15:42:48Z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